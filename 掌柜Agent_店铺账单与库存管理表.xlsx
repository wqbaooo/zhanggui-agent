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2bbaf56c4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总览" sheetId="1" r:id="R9665767a24434aed"/>
    <x:sheet xmlns:r="http://schemas.openxmlformats.org/officeDocument/2006/relationships" name="1_店铺账单明细" sheetId="2" r:id="Rab1011e1913649b1"/>
    <x:sheet xmlns:r="http://schemas.openxmlformats.org/officeDocument/2006/relationships" name="2_每日经营汇总" sheetId="3" r:id="Ra3f8f2b26b694d77"/>
    <x:sheet xmlns:r="http://schemas.openxmlformats.org/officeDocument/2006/relationships" name="3_库存管理" sheetId="4" r:id="R40d3cd795fa54f1e"/>
    <x:sheet xmlns:r="http://schemas.openxmlformats.org/officeDocument/2006/relationships" name="4_进货记录" sheetId="5" r:id="R5e744df169d34470"/>
    <x:sheet xmlns:r="http://schemas.openxmlformats.org/officeDocument/2006/relationships" name="5_盘点与报损" sheetId="6" r:id="R7833edd22fe4494a"/>
    <x:sheet xmlns:r="http://schemas.openxmlformats.org/officeDocument/2006/relationships" name="6_字典与参考" sheetId="7" r:id="Ra9d877538d13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¥#,##0.00;[Red]-¥#,##0.00"/>
    <x:numFmt numFmtId="202" formatCode="0"/>
    <x:numFmt numFmtId="203" formatCode="¥#,##0.00"/>
    <x:numFmt numFmtId="204" formatCode="0.00"/>
    <x:numFmt numFmtId="205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2c07b470948eb" /><Relationship Type="http://schemas.openxmlformats.org/officeDocument/2006/relationships/theme" Target="/xl/theme/theme1.xml" Id="Rc55a136abbfb4009" /><Relationship Type="http://schemas.openxmlformats.org/officeDocument/2006/relationships/sharedStrings" Target="/xl/sharedStrings.xml" Id="R802bb298aa4a4f44" /><Relationship Type="http://schemas.openxmlformats.org/officeDocument/2006/relationships/worksheet" Target="/xl/worksheets/sheet1.xml" Id="R9665767a24434aed" /><Relationship Type="http://schemas.openxmlformats.org/officeDocument/2006/relationships/worksheet" Target="/xl/worksheets/sheet2.xml" Id="Rab1011e1913649b1" /><Relationship Type="http://schemas.openxmlformats.org/officeDocument/2006/relationships/worksheet" Target="/xl/worksheets/sheet3.xml" Id="Ra3f8f2b26b694d77" /><Relationship Type="http://schemas.openxmlformats.org/officeDocument/2006/relationships/worksheet" Target="/xl/worksheets/sheet4.xml" Id="R40d3cd795fa54f1e" /><Relationship Type="http://schemas.openxmlformats.org/officeDocument/2006/relationships/worksheet" Target="/xl/worksheets/sheet5.xml" Id="R5e744df169d34470" /><Relationship Type="http://schemas.openxmlformats.org/officeDocument/2006/relationships/worksheet" Target="/xl/worksheets/sheet6.xml" Id="R7833edd22fe4494a" /><Relationship Type="http://schemas.openxmlformats.org/officeDocument/2006/relationships/worksheet" Target="/xl/worksheets/sheet7.xml" Id="Ra9d877538d134b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e0188f9adc41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前 9 天净现金流趋势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星期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'2_每日经营汇总'!$B$2:$B$10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第几天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'2_每日经营汇总'!$C$2:$C$10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客如云/收银收入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'2_每日经营汇总'!$D$2:$D$10</c:f>
              <c:numCache>
                <c:formatCode>¥#,##0.00;[Red]-¥#,##0.00</c:formatCode>
                <c:ptCount val="0"/>
              </c:numCache>
            </c:numRef>
          </c:val>
        </c:ser>
        <c:ser>
          <c:idx val="3"/>
          <c:order val="3"/>
          <c:tx>
            <c:v>外卖实收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'2_每日经营汇总'!$E$2:$E$10</c:f>
              <c:numCache>
                <c:formatCode>¥#,##0.00;[Red]-¥#,##0.00</c:formatCode>
                <c:ptCount val="0"/>
              </c:numCache>
            </c:numRef>
          </c:val>
        </c:ser>
        <c:ser>
          <c:idx val="4"/>
          <c:order val="4"/>
          <c:tx>
            <c:v>其他收入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'2_每日经营汇总'!$F$2:$F$10</c:f>
              <c:numCache>
                <c:formatCode>¥#,##0.00;[Red]-¥#,##0.00</c:formatCode>
                <c:ptCount val="0"/>
              </c:numCache>
            </c:numRef>
          </c:val>
        </c:ser>
        <c:ser>
          <c:idx val="5"/>
          <c:order val="5"/>
          <c:tx>
            <c:v>总收入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'2_每日经营汇总'!$G$2:$G$10</c:f>
              <c:numCache>
                <c:formatCode>¥#,##0.00;[Red]-¥#,##0.00</c:formatCode>
                <c:ptCount val="0"/>
              </c:numCache>
            </c:numRef>
          </c:val>
        </c:ser>
        <c:ser>
          <c:idx val="6"/>
          <c:order val="6"/>
          <c:tx>
            <c:v>进货成本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'2_每日经营汇总'!$H$2:$H$10</c:f>
              <c:numCache>
                <c:formatCode>¥#,##0.00;[Red]-¥#,##0.00</c:formatCode>
                <c:ptCount val="0"/>
              </c:numCache>
            </c:numRef>
          </c:val>
        </c:ser>
        <c:ser>
          <c:idx val="7"/>
          <c:order val="7"/>
          <c:tx>
            <c:v>人工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'2_每日经营汇总'!$I$2:$I$10</c:f>
              <c:numCache>
                <c:formatCode>¥#,##0.00;[Red]-¥#,##0.00</c:formatCode>
                <c:ptCount val="0"/>
              </c:numCache>
            </c:numRef>
          </c:val>
        </c:ser>
        <c:ser>
          <c:idx val="8"/>
          <c:order val="8"/>
          <c:tx>
            <c:v>房租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'2_每日经营汇总'!$J$2:$J$10</c:f>
              <c:numCache>
                <c:formatCode>¥#,##0.00;[Red]-¥#,##0.00</c:formatCode>
                <c:ptCount val="0"/>
              </c:numCache>
            </c:numRef>
          </c:val>
        </c:ser>
        <c:ser>
          <c:idx val="9"/>
          <c:order val="9"/>
          <c:tx>
            <c:v>水电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'2_每日经营汇总'!$K$2:$K$10</c:f>
              <c:numCache>
                <c:formatCode>¥#,##0.00;[Red]-¥#,##0.00</c:formatCode>
                <c:ptCount val="0"/>
              </c:numCache>
            </c:numRef>
          </c:val>
        </c:ser>
        <c:ser>
          <c:idx val="10"/>
          <c:order val="10"/>
          <c:tx>
            <c:v>营销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'2_每日经营汇总'!$L$2:$L$10</c:f>
              <c:numCache>
                <c:formatCode>¥#,##0.00;[Red]-¥#,##0.00</c:formatCode>
                <c:ptCount val="0"/>
              </c:numCache>
            </c:numRef>
          </c:val>
        </c:ser>
        <c:ser>
          <c:idx val="11"/>
          <c:order val="11"/>
          <c:tx>
            <c:v>其他费用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'2_每日经营汇总'!$M$2:$M$10</c:f>
              <c:numCache>
                <c:formatCode>¥#,##0.00;[Red]-¥#,##0.00</c:formatCode>
                <c:ptCount val="0"/>
              </c:numCache>
            </c:numRef>
          </c:val>
        </c:ser>
        <c:ser>
          <c:idx val="12"/>
          <c:order val="12"/>
          <c:tx>
            <c:v>总支出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'2_每日经营汇总'!$N$2:$N$10</c:f>
              <c:numCache>
                <c:formatCode>¥#,##0.00;[Red]-¥#,##0.00</c:formatCode>
                <c:ptCount val="0"/>
              </c:numCache>
            </c:numRef>
          </c:val>
        </c:ser>
        <c:ser>
          <c:idx val="13"/>
          <c:order val="13"/>
          <c:tx>
            <c:v>净现金流</c:v>
          </c:tx>
          <c:cat>
            <c:strRef>
              <c:f>'2_每日经营汇总'!$A$2:$A$10</c:f>
              <c:strCache>
                <c:ptCount val="0"/>
              </c:strCache>
            </c:strRef>
          </c:cat>
          <c:val>
            <c:numRef>
              <c:f>'2_每日经营汇总'!$O$2:$O$10</c:f>
              <c:numCache>
                <c:formatCode>¥#,##0.00;[Red]-¥#,##0.00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e0188f9adc41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llsTable" displayName="BillsTable" ref="A1:O221" headerRowCount="1">
  <x:tableColumns count="15">
    <x:tableColumn id="1" name="日期"/>
    <x:tableColumn id="2" name="单据/来源"/>
    <x:tableColumn id="3" name="账单类型"/>
    <x:tableColumn id="4" name="渠道"/>
    <x:tableColumn id="5" name="项目"/>
    <x:tableColumn id="6" name="说明"/>
    <x:tableColumn id="7" name="收入金额"/>
    <x:tableColumn id="8" name="支出金额"/>
    <x:tableColumn id="9" name="支付方式"/>
    <x:tableColumn id="10" name="支付状态"/>
    <x:tableColumn id="11" name="凭证状态"/>
    <x:tableColumn id="12" name="归属日期"/>
    <x:tableColumn id="13" name="是否计入利润"/>
    <x:tableColumn id="14" name="备注"/>
    <x:tableColumn id="15" name="净现金流"/>
  </x:tableColumns>
  <x:tableStyleInfo name="TableStyleMedium2" showRowStripes="1"/>
</x:table>
</file>

<file path=xl/tables/table2.xml><?xml version="1.0" encoding="utf-8"?>
<x:table xmlns:x="http://schemas.openxmlformats.org/spreadsheetml/2006/main" id="2" name="DailyTable" displayName="DailyTable" ref="A1:R32" headerRowCount="1">
  <x:tableColumns count="18">
    <x:tableColumn id="1" name="日期"/>
    <x:tableColumn id="2" name="星期"/>
    <x:tableColumn id="3" name="第几天"/>
    <x:tableColumn id="4" name="客如云/收银收入"/>
    <x:tableColumn id="5" name="外卖实收"/>
    <x:tableColumn id="6" name="其他收入"/>
    <x:tableColumn id="7" name="总收入"/>
    <x:tableColumn id="8" name="进货成本"/>
    <x:tableColumn id="9" name="人工"/>
    <x:tableColumn id="10" name="房租"/>
    <x:tableColumn id="11" name="水电"/>
    <x:tableColumn id="12" name="营销"/>
    <x:tableColumn id="13" name="其他费用"/>
    <x:tableColumn id="14" name="总支出"/>
    <x:tableColumn id="15" name="净现金流"/>
    <x:tableColumn id="16" name="订单数"/>
    <x:tableColumn id="17" name="客单价"/>
    <x:tableColumn id="1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Table" displayName="InventoryTable" ref="A1:T121" headerRowCount="1">
  <x:tableColumns count="20">
    <x:tableColumn id="1" name="SKU/物品"/>
    <x:tableColumn id="2" name="分类"/>
    <x:tableColumn id="3" name="单位"/>
    <x:tableColumn id="4" name="供应商"/>
    <x:tableColumn id="5" name="期初库存"/>
    <x:tableColumn id="6" name="本期入库"/>
    <x:tableColumn id="7" name="本期出库/消耗"/>
    <x:tableColumn id="8" name="报损"/>
    <x:tableColumn id="9" name="盘点库存"/>
    <x:tableColumn id="10" name="当前库存"/>
    <x:tableColumn id="11" name="安全库存"/>
    <x:tableColumn id="12" name="日均用量"/>
    <x:tableColumn id="13" name="提前期(天)"/>
    <x:tableColumn id="14" name="再订货点"/>
    <x:tableColumn id="15" name="建议补货量"/>
    <x:tableColumn id="16" name="单价"/>
    <x:tableColumn id="17" name="库存金额"/>
    <x:tableColumn id="18" name="可用天数"/>
    <x:tableColumn id="19" name="状态"/>
    <x:tableColumn id="2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urchaseTable" displayName="PurchaseTable" ref="A1:L151" headerRowCount="1">
  <x:tableColumns count="12">
    <x:tableColumn id="1" name="日期"/>
    <x:tableColumn id="2" name="供应商"/>
    <x:tableColumn id="3" name="商品/SKU"/>
    <x:tableColumn id="4" name="分类"/>
    <x:tableColumn id="5" name="数量"/>
    <x:tableColumn id="6" name="单位"/>
    <x:tableColumn id="7" name="单价"/>
    <x:tableColumn id="8" name="总额"/>
    <x:tableColumn id="9" name="是否已入库"/>
    <x:tableColumn id="10" name="支付状态"/>
    <x:tableColumn id="11" name="凭证状态"/>
    <x:tableColumn id="12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StockCountTable" displayName="StockCountTable" ref="A1:K121" headerRowCount="1">
  <x:tableColumns count="11">
    <x:tableColumn id="1" name="日期"/>
    <x:tableColumn id="2" name="SKU/物品"/>
    <x:tableColumn id="3" name="类型"/>
    <x:tableColumn id="4" name="系统库存"/>
    <x:tableColumn id="5" name="盘点库存"/>
    <x:tableColumn id="6" name="差异"/>
    <x:tableColumn id="7" name="报损数量"/>
    <x:tableColumn id="8" name="原因"/>
    <x:tableColumn id="9" name="处理方式"/>
    <x:tableColumn id="10" name="负责人"/>
    <x:tableColumn id="1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ff74ec5c334d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1fef76d1ef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ee89edc04649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e0efe6dc58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ce881f544d41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4c20a1454e418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8" hidden="0" customWidth="1"/>
    <x:col min="5" max="5" width="14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8" customHeight="1">
      <x:c r="A1" s="40" t="str">
        <x:v>掌柜 Agent｜店铺账单 &amp; 库存整理表</x:v>
      </x:c>
    </x:row>
    <x:row r="3">
      <x:c r="A3" s="44" t="str">
        <x:v>开店起始日</x:v>
      </x:c>
      <x:c r="B3" s="12" t="n">
        <x:v>46204</x:v>
      </x:c>
      <x:c r="D3" s="4" t="str">
        <x:v>指标</x:v>
      </x:c>
      <x:c r="E3" s="4" t="str">
        <x:v>金额/数量</x:v>
      </x:c>
      <x:c r="F3" s="4" t="str">
        <x:v>说明</x:v>
      </x:c>
      <x:c r="G3" s="4" t="str"/>
      <x:c r="H3" s="4" t="str"/>
    </x:row>
    <x:row r="4">
      <x:c r="A4" s="44" t="str">
        <x:v>当前日期</x:v>
      </x:c>
      <x:c r="B4" s="12" t="n">
        <x:v>46212</x:v>
      </x:c>
      <x:c r="D4" s="44" t="str">
        <x:v>累计收入</x:v>
      </x:c>
      <x:c r="E4" s="14" t="n">
        <x:f>SUM('1_店铺账单明细'!G:G)</x:f>
        <x:v>0</x:v>
      </x:c>
      <x:c r="F4" t="str">
        <x:v>来自账单明细收入金额</x:v>
      </x:c>
      <x:c r="G4" t="str"/>
      <x:c r="H4" t="str"/>
    </x:row>
    <x:row r="5">
      <x:c r="A5" s="44" t="str">
        <x:v>当前第几天</x:v>
      </x:c>
      <x:c r="B5" s="22" t="n">
        <x:f>B4-B3+1</x:f>
        <x:v>9</x:v>
      </x:c>
      <x:c r="D5" s="44" t="str">
        <x:v>累计支出</x:v>
      </x:c>
      <x:c r="E5" s="14" t="n">
        <x:f>SUM('1_店铺账单明细'!H:H)</x:f>
        <x:v>0</x:v>
      </x:c>
      <x:c r="F5" t="str">
        <x:v>来自账单明细支出金额</x:v>
      </x:c>
      <x:c r="G5" t="str"/>
      <x:c r="H5" t="str"/>
    </x:row>
    <x:row r="6">
      <x:c r="A6" s="44" t="str">
        <x:v>账单未付款笔数</x:v>
      </x:c>
      <x:c r="B6" s="22" t="n">
        <x:f>COUNTIF('1_店铺账单明细'!J:J,"未付款")</x:f>
        <x:v>0</x:v>
      </x:c>
      <x:c r="D6" s="44" t="str">
        <x:v>累计净现金流</x:v>
      </x:c>
      <x:c r="E6" s="14" t="n">
        <x:f>E4-E5</x:f>
        <x:v>0</x:v>
      </x:c>
      <x:c r="F6" t="str">
        <x:v>收入 - 支出</x:v>
      </x:c>
      <x:c r="G6" t="str"/>
      <x:c r="H6" t="str"/>
    </x:row>
    <x:row r="7">
      <x:c r="A7" s="44" t="str">
        <x:v>待补凭证笔数</x:v>
      </x:c>
      <x:c r="B7" s="22" t="n">
        <x:f>COUNTIF('1_店铺账单明细'!K:K,"待补")</x:f>
        <x:v>9</x:v>
      </x:c>
      <x:c r="D7" s="44" t="str">
        <x:v>本月进货成本</x:v>
      </x:c>
      <x:c r="E7" s="14" t="n">
        <x:f>SUMIFS('1_店铺账单明细'!H:H,'1_店铺账单明细'!C:C,"进货成本")</x:f>
        <x:v>0</x:v>
      </x:c>
      <x:c r="F7" t="str">
        <x:v>账单类型=进货成本</x:v>
      </x:c>
      <x:c r="G7" t="str"/>
      <x:c r="H7" t="str"/>
    </x:row>
    <x:row r="8">
      <x:c r="A8" s="44" t="str">
        <x:v>库存预警数量</x:v>
      </x:c>
      <x:c r="B8" s="22" t="n">
        <x:f>COUNTIF('3_库存管理'!S:S,"缺货")+COUNTIF('3_库存管理'!S:S,"低于安全库存")+COUNTIF('3_库存管理'!S:S,"建议补货")</x:f>
        <x:v>3</x:v>
      </x:c>
      <x:c r="D8" s="44" t="str">
        <x:v>库存金额</x:v>
      </x:c>
      <x:c r="E8" s="14" t="n">
        <x:f>SUM('3_库存管理'!Q:Q)</x:f>
        <x:v>0</x:v>
      </x:c>
      <x:c r="F8" t="str">
        <x:v>库存管理当前库存 × 单价</x:v>
      </x:c>
      <x:c r="G8" t="str"/>
      <x:c r="H8" t="str"/>
    </x:row>
    <x:row r="9">
      <x:c r="D9" s="44" t="str">
        <x:v>需要补货SKU</x:v>
      </x:c>
      <x:c r="E9" s="22" t="n">
        <x:f>COUNTIF('3_库存管理'!S:S,"缺货")+COUNTIF('3_库存管理'!S:S,"低于安全库存")+COUNTIF('3_库存管理'!S:S,"建议补货")</x:f>
        <x:v>3</x:v>
      </x:c>
      <x:c r="F9" t="str">
        <x:v>缺货/低于安全库存/建议补货</x:v>
      </x:c>
      <x:c r="G9" t="str"/>
      <x:c r="H9" t="str"/>
    </x:row>
    <x:row r="10">
      <x:c r="D10" s="44" t="str">
        <x:v>今日收口提示</x:v>
      </x:c>
      <x:c r="E10" t="str">
        <x:v>先补齐 9 天流水，再盘点库存</x:v>
      </x:c>
      <x:c r="F10" t="str">
        <x:v>先录入日期、类型、收入/支出、凭证状态</x:v>
      </x:c>
      <x:c r="G10" t="str"/>
      <x:c r="H10" t="str"/>
    </x:row>
    <x:row r="11">
      <x:c r="A11" s="48" t="str">
        <x:v>使用顺序：① 先把 9 天账单逐条录入「1_店铺账单明细」→ ② 把库存物品录入「3_库存管理」→ ③ 有进货就填「4_进货记录」→ ④ 每晚看「0_总览」和「2_每日经营汇总」</x:v>
      </x:c>
    </x:row>
    <x:row r="13">
      <x:c r="A13" s="10" t="str">
        <x:v>乱账整理最小规则</x:v>
      </x:c>
      <x:c r="B13" s="10" t="str">
        <x:v>怎么填</x:v>
      </x:c>
      <x:c r="C13" s="17"/>
      <x:c r="D13" s="17"/>
      <x:c r="E13" s="17"/>
      <x:c r="F13" s="17"/>
      <x:c r="G13" s="17"/>
      <x:c r="H13" s="17"/>
    </x:row>
    <x:row r="14">
      <x:c r="A14" s="50" t="str">
        <x:v>收入</x:v>
      </x:c>
      <x:c r="B14" s="17" t="str">
        <x:v>只填收入金额，不填支出金额；渠道写客如云/美团/淘宝闪购/抖音等</x:v>
      </x:c>
      <x:c r="C14" s="17"/>
      <x:c r="D14" s="17"/>
      <x:c r="E14" s="17"/>
      <x:c r="F14" s="17"/>
      <x:c r="G14" s="17"/>
      <x:c r="H14" s="17"/>
    </x:row>
    <x:row r="15">
      <x:c r="A15" s="50" t="str">
        <x:v>支出</x:v>
      </x:c>
      <x:c r="B15" s="17" t="str">
        <x:v>只填支出金额；账单类型选进货成本/人工/房租/水电/营销等</x:v>
      </x:c>
      <x:c r="C15" s="17"/>
      <x:c r="D15" s="17"/>
      <x:c r="E15" s="17"/>
      <x:c r="F15" s="17"/>
      <x:c r="G15" s="17"/>
      <x:c r="H15" s="17"/>
    </x:row>
    <x:row r="16">
      <x:c r="A16" s="50" t="str">
        <x:v>凭证</x:v>
      </x:c>
      <x:c r="B16" s="17" t="str">
        <x:v>有截图/小票/转账记录就选有凭证，没有就选待补</x:v>
      </x:c>
      <x:c r="C16" s="17"/>
      <x:c r="D16" s="17"/>
      <x:c r="E16" s="17"/>
      <x:c r="F16" s="17"/>
      <x:c r="G16" s="17"/>
      <x:c r="H16" s="17"/>
    </x:row>
    <x:row r="17">
      <x:c r="A17" s="50" t="str">
        <x:v>归属日期</x:v>
      </x:c>
      <x:c r="B17" s="17" t="str">
        <x:v>钱哪天发生就归属哪天；付款晚了可以在备注写实际付款日</x:v>
      </x:c>
      <x:c r="C17" s="17"/>
      <x:c r="D17" s="17"/>
      <x:c r="E17" s="17"/>
      <x:c r="F17" s="17"/>
      <x:c r="G17" s="17"/>
      <x:c r="H17" s="17"/>
    </x:row>
    <x:row r="18">
      <x:c r="A18" s="50" t="str">
        <x:v>库存</x:v>
      </x:c>
      <x:c r="B18" s="17" t="str">
        <x:v>先填期初、本期入库、消耗/报损；不确定就填盘点库存</x:v>
      </x:c>
      <x:c r="C18" s="17"/>
      <x:c r="D18" s="17"/>
      <x:c r="E18" s="17"/>
      <x:c r="F18" s="17"/>
      <x:c r="G18" s="17"/>
      <x:c r="H18" s="17"/>
    </x:row>
    <x:row r="19">
      <x:c r="A19" s="50" t="str">
        <x:v>利润</x:v>
      </x:c>
      <x:c r="B19" s="17" t="str">
        <x:v>没确认的收入、进货和库存不要直接当成真实利润</x:v>
      </x:c>
      <x:c r="C19" s="17"/>
      <x:c r="D19" s="17"/>
      <x:c r="E19" s="17"/>
      <x:c r="F19" s="17"/>
      <x:c r="G19" s="17"/>
      <x:c r="H19" s="17"/>
    </x:row>
    <x:row r="20">
      <x:c r="A20" s="50" t="str">
        <x:v>参考</x:v>
      </x:c>
      <x:c r="B20" s="17" t="str">
        <x:v>本表参考了小企业日常记账清单、库存安全库存和再订货点规则，来源见「6_字典与参考」</x:v>
      </x:c>
      <x:c r="C20" s="17"/>
      <x:c r="D20" s="17"/>
      <x:c r="E20" s="17"/>
      <x:c r="F20" s="17"/>
      <x:c r="G20" s="17"/>
      <x:c r="H20" s="17"/>
    </x:row>
    <x:row r="22">
      <x:c r="A22" s="50" t="str">
        <x:v>库存联动说明</x:v>
      </x:c>
      <x:c r="B22" s="17" t="str">
        <x:v>「4_进货记录」里商品/SKU 与「3_库存管理」SKU/物品一致，且是否已入库=已入库，库存表会自动汇总本期入库。</x:v>
      </x:c>
      <x:c r="C22" s="17"/>
      <x:c r="D22" s="17"/>
      <x:c r="E22" s="17"/>
      <x:c r="F22" s="17"/>
      <x:c r="G22" s="17"/>
      <x:c r="H22" s="17"/>
    </x:row>
    <x:row r="23">
      <x:c r="A23" s="50" t="str">
        <x:v>报损联动说明</x:v>
      </x:c>
      <x:c r="B23" s="17" t="str">
        <x:v>「5_盘点与报损」里类型=报损，SKU/物品一致，库存表会自动汇总报损数量。</x:v>
      </x:c>
      <x:c r="C23" s="17"/>
      <x:c r="D23" s="17"/>
      <x:c r="E23" s="17"/>
      <x:c r="F23" s="17"/>
      <x:c r="G23" s="17"/>
      <x:c r="H23" s="17"/>
    </x:row>
    <x:row r="24">
      <x:c r="A24" s="50" t="str">
        <x:v>最小录入原则</x:v>
      </x:c>
      <x:c r="B24" s="17" t="str">
        <x:v>先保证每一笔钱有日期、类型、收入/支出、凭证状态；库存先保证 SKU、单位、安全库存、盘点库存。</x:v>
      </x:c>
      <x:c r="C24" s="17"/>
      <x:c r="D24" s="17"/>
      <x:c r="E24" s="17"/>
      <x:c r="F24" s="17"/>
      <x:c r="G24" s="17"/>
      <x:c r="H24" s="17"/>
    </x:row>
  </x:sheetData>
  <x:mergeCells>
    <x:mergeCell ref="A1:H1"/>
    <x:mergeCell ref="A11:H11"/>
  </x:mergeCells>
  <x:pageMargins left="0.7" right="0.7" top="0.75" bottom="0.75" header="0.3" footer="0.3"/>
  <x:drawing xmlns:r="http://schemas.openxmlformats.org/officeDocument/2006/relationships" r:id="Rc6ff74ec5c334db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28" customHeight="1">
      <x:c r="A1" s="10" t="str">
        <x:v>日期</x:v>
      </x:c>
      <x:c r="B1" s="10" t="str">
        <x:v>单据/来源</x:v>
      </x:c>
      <x:c r="C1" s="10" t="str">
        <x:v>账单类型</x:v>
      </x:c>
      <x:c r="D1" s="10" t="str">
        <x:v>渠道</x:v>
      </x:c>
      <x:c r="E1" s="10" t="str">
        <x:v>项目</x:v>
      </x:c>
      <x:c r="F1" s="10" t="str">
        <x:v>说明</x:v>
      </x:c>
      <x:c r="G1" s="10" t="str">
        <x:v>收入金额</x:v>
      </x:c>
      <x:c r="H1" s="10" t="str">
        <x:v>支出金额</x:v>
      </x:c>
      <x:c r="I1" s="10" t="str">
        <x:v>支付方式</x:v>
      </x:c>
      <x:c r="J1" s="10" t="str">
        <x:v>支付状态</x:v>
      </x:c>
      <x:c r="K1" s="10" t="str">
        <x:v>凭证状态</x:v>
      </x:c>
      <x:c r="L1" s="10" t="str">
        <x:v>归属日期</x:v>
      </x:c>
      <x:c r="M1" s="10" t="str">
        <x:v>是否计入利润</x:v>
      </x:c>
      <x:c r="N1" s="10" t="str">
        <x:v>备注</x:v>
      </x:c>
      <x:c r="O1" s="10" t="str">
        <x:v>净现金流</x:v>
      </x:c>
    </x:row>
    <x:row r="2">
      <x:c r="A2" s="16" t="n">
        <x:v>46204</x:v>
      </x:c>
      <x:c r="B2" s="17" t="str"/>
      <x:c r="C2" s="17" t="str"/>
      <x:c r="D2" s="17" t="str"/>
      <x:c r="E2" s="17" t="str"/>
      <x:c r="F2" s="17" t="str"/>
      <x:c r="G2" s="18"/>
      <x:c r="H2" s="18"/>
      <x:c r="I2" s="17" t="str"/>
      <x:c r="J2" s="17" t="str">
        <x:v>待确认</x:v>
      </x:c>
      <x:c r="K2" s="17" t="str">
        <x:v>待补</x:v>
      </x:c>
      <x:c r="L2" s="16" t="n">
        <x:v>46204</x:v>
      </x:c>
      <x:c r="M2" s="17" t="str">
        <x:v>是</x:v>
      </x:c>
      <x:c r="N2" s="17" t="str"/>
      <x:c r="O2" s="18" t="str">
        <x:f>IF(AND(G2="",H2=""),"",N(G2)-N(H2))</x:f>
      </x:c>
    </x:row>
    <x:row r="3">
      <x:c r="A3" s="16" t="n">
        <x:v>46205</x:v>
      </x:c>
      <x:c r="B3" s="17" t="str"/>
      <x:c r="C3" s="17" t="str"/>
      <x:c r="D3" s="17" t="str"/>
      <x:c r="E3" s="17" t="str"/>
      <x:c r="F3" s="17" t="str"/>
      <x:c r="G3" s="18"/>
      <x:c r="H3" s="18"/>
      <x:c r="I3" s="17" t="str"/>
      <x:c r="J3" s="17" t="str">
        <x:v>待确认</x:v>
      </x:c>
      <x:c r="K3" s="17" t="str">
        <x:v>待补</x:v>
      </x:c>
      <x:c r="L3" s="16" t="n">
        <x:v>46205</x:v>
      </x:c>
      <x:c r="M3" s="17" t="str">
        <x:v>是</x:v>
      </x:c>
      <x:c r="N3" s="17" t="str"/>
      <x:c r="O3" s="18" t="str">
        <x:f>IF(AND(G3="",H3=""),"",N(G3)-N(H3))</x:f>
      </x:c>
    </x:row>
    <x:row r="4">
      <x:c r="A4" s="16" t="n">
        <x:v>46206</x:v>
      </x:c>
      <x:c r="B4" s="17" t="str"/>
      <x:c r="C4" s="17" t="str"/>
      <x:c r="D4" s="17" t="str"/>
      <x:c r="E4" s="17" t="str"/>
      <x:c r="F4" s="17" t="str"/>
      <x:c r="G4" s="18"/>
      <x:c r="H4" s="18"/>
      <x:c r="I4" s="17" t="str"/>
      <x:c r="J4" s="17" t="str">
        <x:v>待确认</x:v>
      </x:c>
      <x:c r="K4" s="17" t="str">
        <x:v>待补</x:v>
      </x:c>
      <x:c r="L4" s="16" t="n">
        <x:v>46206</x:v>
      </x:c>
      <x:c r="M4" s="17" t="str">
        <x:v>是</x:v>
      </x:c>
      <x:c r="N4" s="17" t="str"/>
      <x:c r="O4" s="18" t="str">
        <x:f>IF(AND(G4="",H4=""),"",N(G4)-N(H4))</x:f>
      </x:c>
    </x:row>
    <x:row r="5">
      <x:c r="A5" s="16" t="n">
        <x:v>46207</x:v>
      </x:c>
      <x:c r="B5" s="17" t="str"/>
      <x:c r="C5" s="17" t="str"/>
      <x:c r="D5" s="17" t="str"/>
      <x:c r="E5" s="17" t="str"/>
      <x:c r="F5" s="17" t="str"/>
      <x:c r="G5" s="18"/>
      <x:c r="H5" s="18"/>
      <x:c r="I5" s="17" t="str"/>
      <x:c r="J5" s="17" t="str">
        <x:v>待确认</x:v>
      </x:c>
      <x:c r="K5" s="17" t="str">
        <x:v>待补</x:v>
      </x:c>
      <x:c r="L5" s="16" t="n">
        <x:v>46207</x:v>
      </x:c>
      <x:c r="M5" s="17" t="str">
        <x:v>是</x:v>
      </x:c>
      <x:c r="N5" s="17" t="str"/>
      <x:c r="O5" s="18" t="str">
        <x:f>IF(AND(G5="",H5=""),"",N(G5)-N(H5))</x:f>
      </x:c>
    </x:row>
    <x:row r="6">
      <x:c r="A6" s="16" t="n">
        <x:v>46208</x:v>
      </x:c>
      <x:c r="B6" s="17" t="str"/>
      <x:c r="C6" s="17" t="str"/>
      <x:c r="D6" s="17" t="str"/>
      <x:c r="E6" s="17" t="str"/>
      <x:c r="F6" s="17" t="str"/>
      <x:c r="G6" s="18"/>
      <x:c r="H6" s="18"/>
      <x:c r="I6" s="17" t="str"/>
      <x:c r="J6" s="17" t="str">
        <x:v>待确认</x:v>
      </x:c>
      <x:c r="K6" s="17" t="str">
        <x:v>待补</x:v>
      </x:c>
      <x:c r="L6" s="16" t="n">
        <x:v>46208</x:v>
      </x:c>
      <x:c r="M6" s="17" t="str">
        <x:v>是</x:v>
      </x:c>
      <x:c r="N6" s="17" t="str"/>
      <x:c r="O6" s="18" t="str">
        <x:f>IF(AND(G6="",H6=""),"",N(G6)-N(H6))</x:f>
      </x:c>
    </x:row>
    <x:row r="7">
      <x:c r="A7" s="16" t="n">
        <x:v>46209</x:v>
      </x:c>
      <x:c r="B7" s="17" t="str"/>
      <x:c r="C7" s="17" t="str"/>
      <x:c r="D7" s="17" t="str"/>
      <x:c r="E7" s="17" t="str"/>
      <x:c r="F7" s="17" t="str"/>
      <x:c r="G7" s="18"/>
      <x:c r="H7" s="18"/>
      <x:c r="I7" s="17" t="str"/>
      <x:c r="J7" s="17" t="str">
        <x:v>待确认</x:v>
      </x:c>
      <x:c r="K7" s="17" t="str">
        <x:v>待补</x:v>
      </x:c>
      <x:c r="L7" s="16" t="n">
        <x:v>46209</x:v>
      </x:c>
      <x:c r="M7" s="17" t="str">
        <x:v>是</x:v>
      </x:c>
      <x:c r="N7" s="17" t="str"/>
      <x:c r="O7" s="18" t="str">
        <x:f>IF(AND(G7="",H7=""),"",N(G7)-N(H7))</x:f>
      </x:c>
    </x:row>
    <x:row r="8">
      <x:c r="A8" s="16" t="n">
        <x:v>46210</x:v>
      </x:c>
      <x:c r="B8" s="17" t="str"/>
      <x:c r="C8" s="17" t="str"/>
      <x:c r="D8" s="17" t="str"/>
      <x:c r="E8" s="17" t="str"/>
      <x:c r="F8" s="17" t="str"/>
      <x:c r="G8" s="18"/>
      <x:c r="H8" s="18"/>
      <x:c r="I8" s="17" t="str"/>
      <x:c r="J8" s="17" t="str">
        <x:v>待确认</x:v>
      </x:c>
      <x:c r="K8" s="17" t="str">
        <x:v>待补</x:v>
      </x:c>
      <x:c r="L8" s="16" t="n">
        <x:v>46210</x:v>
      </x:c>
      <x:c r="M8" s="17" t="str">
        <x:v>是</x:v>
      </x:c>
      <x:c r="N8" s="17" t="str"/>
      <x:c r="O8" s="18" t="str">
        <x:f>IF(AND(G8="",H8=""),"",N(G8)-N(H8))</x:f>
      </x:c>
    </x:row>
    <x:row r="9">
      <x:c r="A9" s="16" t="n">
        <x:v>46211</x:v>
      </x:c>
      <x:c r="B9" s="17" t="str"/>
      <x:c r="C9" s="17" t="str"/>
      <x:c r="D9" s="17" t="str"/>
      <x:c r="E9" s="17" t="str"/>
      <x:c r="F9" s="17" t="str"/>
      <x:c r="G9" s="18"/>
      <x:c r="H9" s="18"/>
      <x:c r="I9" s="17" t="str"/>
      <x:c r="J9" s="17" t="str">
        <x:v>待确认</x:v>
      </x:c>
      <x:c r="K9" s="17" t="str">
        <x:v>待补</x:v>
      </x:c>
      <x:c r="L9" s="16" t="n">
        <x:v>46211</x:v>
      </x:c>
      <x:c r="M9" s="17" t="str">
        <x:v>是</x:v>
      </x:c>
      <x:c r="N9" s="17" t="str"/>
      <x:c r="O9" s="18" t="str">
        <x:f>IF(AND(G9="",H9=""),"",N(G9)-N(H9))</x:f>
      </x:c>
    </x:row>
    <x:row r="10">
      <x:c r="A10" s="16" t="n">
        <x:v>46212</x:v>
      </x:c>
      <x:c r="B10" s="17" t="str"/>
      <x:c r="C10" s="17" t="str"/>
      <x:c r="D10" s="17" t="str"/>
      <x:c r="E10" s="17" t="str"/>
      <x:c r="F10" s="17" t="str"/>
      <x:c r="G10" s="18"/>
      <x:c r="H10" s="18"/>
      <x:c r="I10" s="17" t="str"/>
      <x:c r="J10" s="17" t="str">
        <x:v>待确认</x:v>
      </x:c>
      <x:c r="K10" s="17" t="str">
        <x:v>待补</x:v>
      </x:c>
      <x:c r="L10" s="16" t="n">
        <x:v>46212</x:v>
      </x:c>
      <x:c r="M10" s="17" t="str">
        <x:v>是</x:v>
      </x:c>
      <x:c r="N10" s="17" t="str"/>
      <x:c r="O10" s="18" t="str">
        <x:f>IF(AND(G10="",H10=""),"",N(G10)-N(H10))</x:f>
      </x:c>
    </x:row>
    <x:row r="11">
      <x:c r="A11" s="16"/>
      <x:c r="B11" s="17" t="str"/>
      <x:c r="C11" s="17" t="str"/>
      <x:c r="D11" s="17" t="str"/>
      <x:c r="E11" s="17" t="str"/>
      <x:c r="F11" s="17" t="str"/>
      <x:c r="G11" s="18"/>
      <x:c r="H11" s="18"/>
      <x:c r="I11" s="17" t="str"/>
      <x:c r="J11" s="17" t="str"/>
      <x:c r="K11" s="17" t="str"/>
      <x:c r="L11" s="16"/>
      <x:c r="M11" s="17" t="str"/>
      <x:c r="N11" s="17" t="str"/>
      <x:c r="O11" s="18" t="str">
        <x:f>IF(AND(G11="",H11=""),"",N(G11)-N(H11))</x:f>
      </x:c>
    </x:row>
    <x:row r="12">
      <x:c r="A12" s="16"/>
      <x:c r="B12" s="17" t="str"/>
      <x:c r="C12" s="17" t="str"/>
      <x:c r="D12" s="17" t="str"/>
      <x:c r="E12" s="17" t="str"/>
      <x:c r="F12" s="17" t="str"/>
      <x:c r="G12" s="18"/>
      <x:c r="H12" s="18"/>
      <x:c r="I12" s="17" t="str"/>
      <x:c r="J12" s="17" t="str"/>
      <x:c r="K12" s="17" t="str"/>
      <x:c r="L12" s="16"/>
      <x:c r="M12" s="17" t="str"/>
      <x:c r="N12" s="17" t="str"/>
      <x:c r="O12" s="18" t="str">
        <x:f>IF(AND(G12="",H12=""),"",N(G12)-N(H12))</x:f>
      </x:c>
    </x:row>
    <x:row r="13">
      <x:c r="A13" s="16"/>
      <x:c r="B13" s="17" t="str"/>
      <x:c r="C13" s="17" t="str"/>
      <x:c r="D13" s="17" t="str"/>
      <x:c r="E13" s="17" t="str"/>
      <x:c r="F13" s="17" t="str"/>
      <x:c r="G13" s="18"/>
      <x:c r="H13" s="18"/>
      <x:c r="I13" s="17" t="str"/>
      <x:c r="J13" s="17" t="str"/>
      <x:c r="K13" s="17" t="str"/>
      <x:c r="L13" s="16"/>
      <x:c r="M13" s="17" t="str"/>
      <x:c r="N13" s="17" t="str"/>
      <x:c r="O13" s="18" t="str">
        <x:f>IF(AND(G13="",H13=""),"",N(G13)-N(H13))</x:f>
      </x:c>
    </x:row>
    <x:row r="14">
      <x:c r="A14" s="16"/>
      <x:c r="B14" s="17" t="str"/>
      <x:c r="C14" s="17" t="str"/>
      <x:c r="D14" s="17" t="str"/>
      <x:c r="E14" s="17" t="str"/>
      <x:c r="F14" s="17" t="str"/>
      <x:c r="G14" s="18"/>
      <x:c r="H14" s="18"/>
      <x:c r="I14" s="17" t="str"/>
      <x:c r="J14" s="17" t="str"/>
      <x:c r="K14" s="17" t="str"/>
      <x:c r="L14" s="16"/>
      <x:c r="M14" s="17" t="str"/>
      <x:c r="N14" s="17" t="str"/>
      <x:c r="O14" s="18" t="str">
        <x:f>IF(AND(G14="",H14=""),"",N(G14)-N(H14))</x:f>
      </x:c>
    </x:row>
    <x:row r="15">
      <x:c r="A15" s="16"/>
      <x:c r="B15" s="17" t="str"/>
      <x:c r="C15" s="17" t="str"/>
      <x:c r="D15" s="17" t="str"/>
      <x:c r="E15" s="17" t="str"/>
      <x:c r="F15" s="17" t="str"/>
      <x:c r="G15" s="18"/>
      <x:c r="H15" s="18"/>
      <x:c r="I15" s="17" t="str"/>
      <x:c r="J15" s="17" t="str"/>
      <x:c r="K15" s="17" t="str"/>
      <x:c r="L15" s="16"/>
      <x:c r="M15" s="17" t="str"/>
      <x:c r="N15" s="17" t="str"/>
      <x:c r="O15" s="18" t="str">
        <x:f>IF(AND(G15="",H15=""),"",N(G15)-N(H15))</x:f>
      </x:c>
    </x:row>
    <x:row r="16">
      <x:c r="A16" s="16"/>
      <x:c r="B16" s="17" t="str"/>
      <x:c r="C16" s="17" t="str"/>
      <x:c r="D16" s="17" t="str"/>
      <x:c r="E16" s="17" t="str"/>
      <x:c r="F16" s="17" t="str"/>
      <x:c r="G16" s="18"/>
      <x:c r="H16" s="18"/>
      <x:c r="I16" s="17" t="str"/>
      <x:c r="J16" s="17" t="str"/>
      <x:c r="K16" s="17" t="str"/>
      <x:c r="L16" s="16"/>
      <x:c r="M16" s="17" t="str"/>
      <x:c r="N16" s="17" t="str"/>
      <x:c r="O16" s="18" t="str">
        <x:f>IF(AND(G16="",H16=""),"",N(G16)-N(H16))</x:f>
      </x:c>
    </x:row>
    <x:row r="17">
      <x:c r="A17" s="16"/>
      <x:c r="B17" s="17" t="str"/>
      <x:c r="C17" s="17" t="str"/>
      <x:c r="D17" s="17" t="str"/>
      <x:c r="E17" s="17" t="str"/>
      <x:c r="F17" s="17" t="str"/>
      <x:c r="G17" s="18"/>
      <x:c r="H17" s="18"/>
      <x:c r="I17" s="17" t="str"/>
      <x:c r="J17" s="17" t="str"/>
      <x:c r="K17" s="17" t="str"/>
      <x:c r="L17" s="16"/>
      <x:c r="M17" s="17" t="str"/>
      <x:c r="N17" s="17" t="str"/>
      <x:c r="O17" s="18" t="str">
        <x:f>IF(AND(G17="",H17=""),"",N(G17)-N(H17))</x:f>
      </x:c>
    </x:row>
    <x:row r="18">
      <x:c r="A18" s="16"/>
      <x:c r="B18" s="17" t="str"/>
      <x:c r="C18" s="17" t="str"/>
      <x:c r="D18" s="17" t="str"/>
      <x:c r="E18" s="17" t="str"/>
      <x:c r="F18" s="17" t="str"/>
      <x:c r="G18" s="18"/>
      <x:c r="H18" s="18"/>
      <x:c r="I18" s="17" t="str"/>
      <x:c r="J18" s="17" t="str"/>
      <x:c r="K18" s="17" t="str"/>
      <x:c r="L18" s="16"/>
      <x:c r="M18" s="17" t="str"/>
      <x:c r="N18" s="17" t="str"/>
      <x:c r="O18" s="18" t="str">
        <x:f>IF(AND(G18="",H18=""),"",N(G18)-N(H18))</x:f>
      </x:c>
    </x:row>
    <x:row r="19">
      <x:c r="A19" s="16"/>
      <x:c r="B19" s="17" t="str"/>
      <x:c r="C19" s="17" t="str"/>
      <x:c r="D19" s="17" t="str"/>
      <x:c r="E19" s="17" t="str"/>
      <x:c r="F19" s="17" t="str"/>
      <x:c r="G19" s="18"/>
      <x:c r="H19" s="18"/>
      <x:c r="I19" s="17" t="str"/>
      <x:c r="J19" s="17" t="str"/>
      <x:c r="K19" s="17" t="str"/>
      <x:c r="L19" s="16"/>
      <x:c r="M19" s="17" t="str"/>
      <x:c r="N19" s="17" t="str"/>
      <x:c r="O19" s="18" t="str">
        <x:f>IF(AND(G19="",H19=""),"",N(G19)-N(H19))</x:f>
      </x:c>
    </x:row>
    <x:row r="20">
      <x:c r="A20" s="16"/>
      <x:c r="B20" s="17" t="str"/>
      <x:c r="C20" s="17" t="str"/>
      <x:c r="D20" s="17" t="str"/>
      <x:c r="E20" s="17" t="str"/>
      <x:c r="F20" s="17" t="str"/>
      <x:c r="G20" s="18"/>
      <x:c r="H20" s="18"/>
      <x:c r="I20" s="17" t="str"/>
      <x:c r="J20" s="17" t="str"/>
      <x:c r="K20" s="17" t="str"/>
      <x:c r="L20" s="16"/>
      <x:c r="M20" s="17" t="str"/>
      <x:c r="N20" s="17" t="str"/>
      <x:c r="O20" s="18" t="str">
        <x:f>IF(AND(G20="",H20=""),"",N(G20)-N(H20))</x:f>
      </x:c>
    </x:row>
    <x:row r="21">
      <x:c r="A21" s="16"/>
      <x:c r="B21" s="17" t="str"/>
      <x:c r="C21" s="17" t="str"/>
      <x:c r="D21" s="17" t="str"/>
      <x:c r="E21" s="17" t="str"/>
      <x:c r="F21" s="17" t="str"/>
      <x:c r="G21" s="18"/>
      <x:c r="H21" s="18"/>
      <x:c r="I21" s="17" t="str"/>
      <x:c r="J21" s="17" t="str"/>
      <x:c r="K21" s="17" t="str"/>
      <x:c r="L21" s="16"/>
      <x:c r="M21" s="17" t="str"/>
      <x:c r="N21" s="17" t="str"/>
      <x:c r="O21" s="18" t="str">
        <x:f>IF(AND(G21="",H21=""),"",N(G21)-N(H21))</x:f>
      </x:c>
    </x:row>
    <x:row r="22">
      <x:c r="A22" s="16"/>
      <x:c r="B22" s="17" t="str"/>
      <x:c r="C22" s="17" t="str"/>
      <x:c r="D22" s="17" t="str"/>
      <x:c r="E22" s="17" t="str"/>
      <x:c r="F22" s="17" t="str"/>
      <x:c r="G22" s="18"/>
      <x:c r="H22" s="18"/>
      <x:c r="I22" s="17" t="str"/>
      <x:c r="J22" s="17" t="str"/>
      <x:c r="K22" s="17" t="str"/>
      <x:c r="L22" s="16"/>
      <x:c r="M22" s="17" t="str"/>
      <x:c r="N22" s="17" t="str"/>
      <x:c r="O22" s="18" t="str">
        <x:f>IF(AND(G22="",H22=""),"",N(G22)-N(H22))</x:f>
      </x:c>
    </x:row>
    <x:row r="23">
      <x:c r="A23" s="16"/>
      <x:c r="B23" s="17" t="str"/>
      <x:c r="C23" s="17" t="str"/>
      <x:c r="D23" s="17" t="str"/>
      <x:c r="E23" s="17" t="str"/>
      <x:c r="F23" s="17" t="str"/>
      <x:c r="G23" s="18"/>
      <x:c r="H23" s="18"/>
      <x:c r="I23" s="17" t="str"/>
      <x:c r="J23" s="17" t="str"/>
      <x:c r="K23" s="17" t="str"/>
      <x:c r="L23" s="16"/>
      <x:c r="M23" s="17" t="str"/>
      <x:c r="N23" s="17" t="str"/>
      <x:c r="O23" s="18" t="str">
        <x:f>IF(AND(G23="",H23=""),"",N(G23)-N(H23))</x:f>
      </x:c>
    </x:row>
    <x:row r="24">
      <x:c r="A24" s="16"/>
      <x:c r="B24" s="17" t="str"/>
      <x:c r="C24" s="17" t="str"/>
      <x:c r="D24" s="17" t="str"/>
      <x:c r="E24" s="17" t="str"/>
      <x:c r="F24" s="17" t="str"/>
      <x:c r="G24" s="18"/>
      <x:c r="H24" s="18"/>
      <x:c r="I24" s="17" t="str"/>
      <x:c r="J24" s="17" t="str"/>
      <x:c r="K24" s="17" t="str"/>
      <x:c r="L24" s="16"/>
      <x:c r="M24" s="17" t="str"/>
      <x:c r="N24" s="17" t="str"/>
      <x:c r="O24" s="18" t="str">
        <x:f>IF(AND(G24="",H24=""),"",N(G24)-N(H24))</x:f>
      </x:c>
    </x:row>
    <x:row r="25">
      <x:c r="A25" s="16"/>
      <x:c r="B25" s="17" t="str"/>
      <x:c r="C25" s="17" t="str"/>
      <x:c r="D25" s="17" t="str"/>
      <x:c r="E25" s="17" t="str"/>
      <x:c r="F25" s="17" t="str"/>
      <x:c r="G25" s="18"/>
      <x:c r="H25" s="18"/>
      <x:c r="I25" s="17" t="str"/>
      <x:c r="J25" s="17" t="str"/>
      <x:c r="K25" s="17" t="str"/>
      <x:c r="L25" s="16"/>
      <x:c r="M25" s="17" t="str"/>
      <x:c r="N25" s="17" t="str"/>
      <x:c r="O25" s="18" t="str">
        <x:f>IF(AND(G25="",H25=""),"",N(G25)-N(H25))</x:f>
      </x:c>
    </x:row>
    <x:row r="26">
      <x:c r="A26" s="16"/>
      <x:c r="B26" s="17" t="str"/>
      <x:c r="C26" s="17" t="str"/>
      <x:c r="D26" s="17" t="str"/>
      <x:c r="E26" s="17" t="str"/>
      <x:c r="F26" s="17" t="str"/>
      <x:c r="G26" s="18"/>
      <x:c r="H26" s="18"/>
      <x:c r="I26" s="17" t="str"/>
      <x:c r="J26" s="17" t="str"/>
      <x:c r="K26" s="17" t="str"/>
      <x:c r="L26" s="16"/>
      <x:c r="M26" s="17" t="str"/>
      <x:c r="N26" s="17" t="str"/>
      <x:c r="O26" s="18" t="str">
        <x:f>IF(AND(G26="",H26=""),"",N(G26)-N(H26))</x:f>
      </x:c>
    </x:row>
    <x:row r="27">
      <x:c r="A27" s="16"/>
      <x:c r="B27" s="17" t="str"/>
      <x:c r="C27" s="17" t="str"/>
      <x:c r="D27" s="17" t="str"/>
      <x:c r="E27" s="17" t="str"/>
      <x:c r="F27" s="17" t="str"/>
      <x:c r="G27" s="18"/>
      <x:c r="H27" s="18"/>
      <x:c r="I27" s="17" t="str"/>
      <x:c r="J27" s="17" t="str"/>
      <x:c r="K27" s="17" t="str"/>
      <x:c r="L27" s="16"/>
      <x:c r="M27" s="17" t="str"/>
      <x:c r="N27" s="17" t="str"/>
      <x:c r="O27" s="18" t="str">
        <x:f>IF(AND(G27="",H27=""),"",N(G27)-N(H27))</x:f>
      </x:c>
    </x:row>
    <x:row r="28">
      <x:c r="A28" s="16"/>
      <x:c r="B28" s="17" t="str"/>
      <x:c r="C28" s="17" t="str"/>
      <x:c r="D28" s="17" t="str"/>
      <x:c r="E28" s="17" t="str"/>
      <x:c r="F28" s="17" t="str"/>
      <x:c r="G28" s="18"/>
      <x:c r="H28" s="18"/>
      <x:c r="I28" s="17" t="str"/>
      <x:c r="J28" s="17" t="str"/>
      <x:c r="K28" s="17" t="str"/>
      <x:c r="L28" s="16"/>
      <x:c r="M28" s="17" t="str"/>
      <x:c r="N28" s="17" t="str"/>
      <x:c r="O28" s="18" t="str">
        <x:f>IF(AND(G28="",H28=""),"",N(G28)-N(H28))</x:f>
      </x:c>
    </x:row>
    <x:row r="29">
      <x:c r="A29" s="16"/>
      <x:c r="B29" s="17" t="str"/>
      <x:c r="C29" s="17" t="str"/>
      <x:c r="D29" s="17" t="str"/>
      <x:c r="E29" s="17" t="str"/>
      <x:c r="F29" s="17" t="str"/>
      <x:c r="G29" s="18"/>
      <x:c r="H29" s="18"/>
      <x:c r="I29" s="17" t="str"/>
      <x:c r="J29" s="17" t="str"/>
      <x:c r="K29" s="17" t="str"/>
      <x:c r="L29" s="16"/>
      <x:c r="M29" s="17" t="str"/>
      <x:c r="N29" s="17" t="str"/>
      <x:c r="O29" s="18" t="str">
        <x:f>IF(AND(G29="",H29=""),"",N(G29)-N(H29))</x:f>
      </x:c>
    </x:row>
    <x:row r="30">
      <x:c r="A30" s="16"/>
      <x:c r="B30" s="17" t="str"/>
      <x:c r="C30" s="17" t="str"/>
      <x:c r="D30" s="17" t="str"/>
      <x:c r="E30" s="17" t="str"/>
      <x:c r="F30" s="17" t="str"/>
      <x:c r="G30" s="18"/>
      <x:c r="H30" s="18"/>
      <x:c r="I30" s="17" t="str"/>
      <x:c r="J30" s="17" t="str"/>
      <x:c r="K30" s="17" t="str"/>
      <x:c r="L30" s="16"/>
      <x:c r="M30" s="17" t="str"/>
      <x:c r="N30" s="17" t="str"/>
      <x:c r="O30" s="18" t="str">
        <x:f>IF(AND(G30="",H30=""),"",N(G30)-N(H30))</x:f>
      </x:c>
    </x:row>
    <x:row r="31">
      <x:c r="A31" s="16"/>
      <x:c r="B31" s="17" t="str"/>
      <x:c r="C31" s="17" t="str"/>
      <x:c r="D31" s="17" t="str"/>
      <x:c r="E31" s="17" t="str"/>
      <x:c r="F31" s="17" t="str"/>
      <x:c r="G31" s="18"/>
      <x:c r="H31" s="18"/>
      <x:c r="I31" s="17" t="str"/>
      <x:c r="J31" s="17" t="str"/>
      <x:c r="K31" s="17" t="str"/>
      <x:c r="L31" s="16"/>
      <x:c r="M31" s="17" t="str"/>
      <x:c r="N31" s="17" t="str"/>
      <x:c r="O31" s="18" t="str">
        <x:f>IF(AND(G31="",H31=""),"",N(G31)-N(H31))</x:f>
      </x:c>
    </x:row>
    <x:row r="32">
      <x:c r="A32" s="16"/>
      <x:c r="B32" s="17" t="str"/>
      <x:c r="C32" s="17" t="str"/>
      <x:c r="D32" s="17" t="str"/>
      <x:c r="E32" s="17" t="str"/>
      <x:c r="F32" s="17" t="str"/>
      <x:c r="G32" s="18"/>
      <x:c r="H32" s="18"/>
      <x:c r="I32" s="17" t="str"/>
      <x:c r="J32" s="17" t="str"/>
      <x:c r="K32" s="17" t="str"/>
      <x:c r="L32" s="16"/>
      <x:c r="M32" s="17" t="str"/>
      <x:c r="N32" s="17" t="str"/>
      <x:c r="O32" s="18" t="str">
        <x:f>IF(AND(G32="",H32=""),"",N(G32)-N(H32))</x:f>
      </x:c>
    </x:row>
    <x:row r="33">
      <x:c r="A33" s="16"/>
      <x:c r="B33" s="17" t="str"/>
      <x:c r="C33" s="17" t="str"/>
      <x:c r="D33" s="17" t="str"/>
      <x:c r="E33" s="17" t="str"/>
      <x:c r="F33" s="17" t="str"/>
      <x:c r="G33" s="18"/>
      <x:c r="H33" s="18"/>
      <x:c r="I33" s="17" t="str"/>
      <x:c r="J33" s="17" t="str"/>
      <x:c r="K33" s="17" t="str"/>
      <x:c r="L33" s="16"/>
      <x:c r="M33" s="17" t="str"/>
      <x:c r="N33" s="17" t="str"/>
      <x:c r="O33" s="18" t="str">
        <x:f>IF(AND(G33="",H33=""),"",N(G33)-N(H33))</x:f>
      </x:c>
    </x:row>
    <x:row r="34">
      <x:c r="A34" s="16"/>
      <x:c r="B34" s="17" t="str"/>
      <x:c r="C34" s="17" t="str"/>
      <x:c r="D34" s="17" t="str"/>
      <x:c r="E34" s="17" t="str"/>
      <x:c r="F34" s="17" t="str"/>
      <x:c r="G34" s="18"/>
      <x:c r="H34" s="18"/>
      <x:c r="I34" s="17" t="str"/>
      <x:c r="J34" s="17" t="str"/>
      <x:c r="K34" s="17" t="str"/>
      <x:c r="L34" s="16"/>
      <x:c r="M34" s="17" t="str"/>
      <x:c r="N34" s="17" t="str"/>
      <x:c r="O34" s="18" t="str">
        <x:f>IF(AND(G34="",H34=""),"",N(G34)-N(H34))</x:f>
      </x:c>
    </x:row>
    <x:row r="35">
      <x:c r="A35" s="16"/>
      <x:c r="B35" s="17" t="str"/>
      <x:c r="C35" s="17" t="str"/>
      <x:c r="D35" s="17" t="str"/>
      <x:c r="E35" s="17" t="str"/>
      <x:c r="F35" s="17" t="str"/>
      <x:c r="G35" s="18"/>
      <x:c r="H35" s="18"/>
      <x:c r="I35" s="17" t="str"/>
      <x:c r="J35" s="17" t="str"/>
      <x:c r="K35" s="17" t="str"/>
      <x:c r="L35" s="16"/>
      <x:c r="M35" s="17" t="str"/>
      <x:c r="N35" s="17" t="str"/>
      <x:c r="O35" s="18" t="str">
        <x:f>IF(AND(G35="",H35=""),"",N(G35)-N(H35))</x:f>
      </x:c>
    </x:row>
    <x:row r="36">
      <x:c r="A36" s="16"/>
      <x:c r="B36" s="17" t="str"/>
      <x:c r="C36" s="17" t="str"/>
      <x:c r="D36" s="17" t="str"/>
      <x:c r="E36" s="17" t="str"/>
      <x:c r="F36" s="17" t="str"/>
      <x:c r="G36" s="18"/>
      <x:c r="H36" s="18"/>
      <x:c r="I36" s="17" t="str"/>
      <x:c r="J36" s="17" t="str"/>
      <x:c r="K36" s="17" t="str"/>
      <x:c r="L36" s="16"/>
      <x:c r="M36" s="17" t="str"/>
      <x:c r="N36" s="17" t="str"/>
      <x:c r="O36" s="18" t="str">
        <x:f>IF(AND(G36="",H36=""),"",N(G36)-N(H36))</x:f>
      </x:c>
    </x:row>
    <x:row r="37">
      <x:c r="A37" s="16"/>
      <x:c r="B37" s="17" t="str"/>
      <x:c r="C37" s="17" t="str"/>
      <x:c r="D37" s="17" t="str"/>
      <x:c r="E37" s="17" t="str"/>
      <x:c r="F37" s="17" t="str"/>
      <x:c r="G37" s="18"/>
      <x:c r="H37" s="18"/>
      <x:c r="I37" s="17" t="str"/>
      <x:c r="J37" s="17" t="str"/>
      <x:c r="K37" s="17" t="str"/>
      <x:c r="L37" s="16"/>
      <x:c r="M37" s="17" t="str"/>
      <x:c r="N37" s="17" t="str"/>
      <x:c r="O37" s="18" t="str">
        <x:f>IF(AND(G37="",H37=""),"",N(G37)-N(H37))</x:f>
      </x:c>
    </x:row>
    <x:row r="38">
      <x:c r="A38" s="16"/>
      <x:c r="B38" s="17" t="str"/>
      <x:c r="C38" s="17" t="str"/>
      <x:c r="D38" s="17" t="str"/>
      <x:c r="E38" s="17" t="str"/>
      <x:c r="F38" s="17" t="str"/>
      <x:c r="G38" s="18"/>
      <x:c r="H38" s="18"/>
      <x:c r="I38" s="17" t="str"/>
      <x:c r="J38" s="17" t="str"/>
      <x:c r="K38" s="17" t="str"/>
      <x:c r="L38" s="16"/>
      <x:c r="M38" s="17" t="str"/>
      <x:c r="N38" s="17" t="str"/>
      <x:c r="O38" s="18" t="str">
        <x:f>IF(AND(G38="",H38=""),"",N(G38)-N(H38))</x:f>
      </x:c>
    </x:row>
    <x:row r="39">
      <x:c r="A39" s="16"/>
      <x:c r="B39" s="17" t="str"/>
      <x:c r="C39" s="17" t="str"/>
      <x:c r="D39" s="17" t="str"/>
      <x:c r="E39" s="17" t="str"/>
      <x:c r="F39" s="17" t="str"/>
      <x:c r="G39" s="18"/>
      <x:c r="H39" s="18"/>
      <x:c r="I39" s="17" t="str"/>
      <x:c r="J39" s="17" t="str"/>
      <x:c r="K39" s="17" t="str"/>
      <x:c r="L39" s="16"/>
      <x:c r="M39" s="17" t="str"/>
      <x:c r="N39" s="17" t="str"/>
      <x:c r="O39" s="18" t="str">
        <x:f>IF(AND(G39="",H39=""),"",N(G39)-N(H39))</x:f>
      </x:c>
    </x:row>
    <x:row r="40">
      <x:c r="A40" s="16"/>
      <x:c r="B40" s="17" t="str"/>
      <x:c r="C40" s="17" t="str"/>
      <x:c r="D40" s="17" t="str"/>
      <x:c r="E40" s="17" t="str"/>
      <x:c r="F40" s="17" t="str"/>
      <x:c r="G40" s="18"/>
      <x:c r="H40" s="18"/>
      <x:c r="I40" s="17" t="str"/>
      <x:c r="J40" s="17" t="str"/>
      <x:c r="K40" s="17" t="str"/>
      <x:c r="L40" s="16"/>
      <x:c r="M40" s="17" t="str"/>
      <x:c r="N40" s="17" t="str"/>
      <x:c r="O40" s="18" t="str">
        <x:f>IF(AND(G40="",H40=""),"",N(G40)-N(H40))</x:f>
      </x:c>
    </x:row>
    <x:row r="41">
      <x:c r="A41" s="16"/>
      <x:c r="B41" s="17" t="str"/>
      <x:c r="C41" s="17" t="str"/>
      <x:c r="D41" s="17" t="str"/>
      <x:c r="E41" s="17" t="str"/>
      <x:c r="F41" s="17" t="str"/>
      <x:c r="G41" s="18"/>
      <x:c r="H41" s="18"/>
      <x:c r="I41" s="17" t="str"/>
      <x:c r="J41" s="17" t="str"/>
      <x:c r="K41" s="17" t="str"/>
      <x:c r="L41" s="16"/>
      <x:c r="M41" s="17" t="str"/>
      <x:c r="N41" s="17" t="str"/>
      <x:c r="O41" s="18" t="str">
        <x:f>IF(AND(G41="",H41=""),"",N(G41)-N(H41))</x:f>
      </x:c>
    </x:row>
    <x:row r="42">
      <x:c r="A42" s="16"/>
      <x:c r="B42" s="17" t="str"/>
      <x:c r="C42" s="17" t="str"/>
      <x:c r="D42" s="17" t="str"/>
      <x:c r="E42" s="17" t="str"/>
      <x:c r="F42" s="17" t="str"/>
      <x:c r="G42" s="18"/>
      <x:c r="H42" s="18"/>
      <x:c r="I42" s="17" t="str"/>
      <x:c r="J42" s="17" t="str"/>
      <x:c r="K42" s="17" t="str"/>
      <x:c r="L42" s="16"/>
      <x:c r="M42" s="17" t="str"/>
      <x:c r="N42" s="17" t="str"/>
      <x:c r="O42" s="18" t="str">
        <x:f>IF(AND(G42="",H42=""),"",N(G42)-N(H42))</x:f>
      </x:c>
    </x:row>
    <x:row r="43">
      <x:c r="A43" s="16"/>
      <x:c r="B43" s="17" t="str"/>
      <x:c r="C43" s="17" t="str"/>
      <x:c r="D43" s="17" t="str"/>
      <x:c r="E43" s="17" t="str"/>
      <x:c r="F43" s="17" t="str"/>
      <x:c r="G43" s="18"/>
      <x:c r="H43" s="18"/>
      <x:c r="I43" s="17" t="str"/>
      <x:c r="J43" s="17" t="str"/>
      <x:c r="K43" s="17" t="str"/>
      <x:c r="L43" s="16"/>
      <x:c r="M43" s="17" t="str"/>
      <x:c r="N43" s="17" t="str"/>
      <x:c r="O43" s="18" t="str">
        <x:f>IF(AND(G43="",H43=""),"",N(G43)-N(H43))</x:f>
      </x:c>
    </x:row>
    <x:row r="44">
      <x:c r="A44" s="16"/>
      <x:c r="B44" s="17" t="str"/>
      <x:c r="C44" s="17" t="str"/>
      <x:c r="D44" s="17" t="str"/>
      <x:c r="E44" s="17" t="str"/>
      <x:c r="F44" s="17" t="str"/>
      <x:c r="G44" s="18"/>
      <x:c r="H44" s="18"/>
      <x:c r="I44" s="17" t="str"/>
      <x:c r="J44" s="17" t="str"/>
      <x:c r="K44" s="17" t="str"/>
      <x:c r="L44" s="16"/>
      <x:c r="M44" s="17" t="str"/>
      <x:c r="N44" s="17" t="str"/>
      <x:c r="O44" s="18" t="str">
        <x:f>IF(AND(G44="",H44=""),"",N(G44)-N(H44))</x:f>
      </x:c>
    </x:row>
    <x:row r="45">
      <x:c r="A45" s="16"/>
      <x:c r="B45" s="17" t="str"/>
      <x:c r="C45" s="17" t="str"/>
      <x:c r="D45" s="17" t="str"/>
      <x:c r="E45" s="17" t="str"/>
      <x:c r="F45" s="17" t="str"/>
      <x:c r="G45" s="18"/>
      <x:c r="H45" s="18"/>
      <x:c r="I45" s="17" t="str"/>
      <x:c r="J45" s="17" t="str"/>
      <x:c r="K45" s="17" t="str"/>
      <x:c r="L45" s="16"/>
      <x:c r="M45" s="17" t="str"/>
      <x:c r="N45" s="17" t="str"/>
      <x:c r="O45" s="18" t="str">
        <x:f>IF(AND(G45="",H45=""),"",N(G45)-N(H45))</x:f>
      </x:c>
    </x:row>
    <x:row r="46">
      <x:c r="A46" s="16"/>
      <x:c r="B46" s="17" t="str"/>
      <x:c r="C46" s="17" t="str"/>
      <x:c r="D46" s="17" t="str"/>
      <x:c r="E46" s="17" t="str"/>
      <x:c r="F46" s="17" t="str"/>
      <x:c r="G46" s="18"/>
      <x:c r="H46" s="18"/>
      <x:c r="I46" s="17" t="str"/>
      <x:c r="J46" s="17" t="str"/>
      <x:c r="K46" s="17" t="str"/>
      <x:c r="L46" s="16"/>
      <x:c r="M46" s="17" t="str"/>
      <x:c r="N46" s="17" t="str"/>
      <x:c r="O46" s="18" t="str">
        <x:f>IF(AND(G46="",H46=""),"",N(G46)-N(H46))</x:f>
      </x:c>
    </x:row>
    <x:row r="47">
      <x:c r="A47" s="16"/>
      <x:c r="B47" s="17" t="str"/>
      <x:c r="C47" s="17" t="str"/>
      <x:c r="D47" s="17" t="str"/>
      <x:c r="E47" s="17" t="str"/>
      <x:c r="F47" s="17" t="str"/>
      <x:c r="G47" s="18"/>
      <x:c r="H47" s="18"/>
      <x:c r="I47" s="17" t="str"/>
      <x:c r="J47" s="17" t="str"/>
      <x:c r="K47" s="17" t="str"/>
      <x:c r="L47" s="16"/>
      <x:c r="M47" s="17" t="str"/>
      <x:c r="N47" s="17" t="str"/>
      <x:c r="O47" s="18" t="str">
        <x:f>IF(AND(G47="",H47=""),"",N(G47)-N(H47))</x:f>
      </x:c>
    </x:row>
    <x:row r="48">
      <x:c r="A48" s="16"/>
      <x:c r="B48" s="17" t="str"/>
      <x:c r="C48" s="17" t="str"/>
      <x:c r="D48" s="17" t="str"/>
      <x:c r="E48" s="17" t="str"/>
      <x:c r="F48" s="17" t="str"/>
      <x:c r="G48" s="18"/>
      <x:c r="H48" s="18"/>
      <x:c r="I48" s="17" t="str"/>
      <x:c r="J48" s="17" t="str"/>
      <x:c r="K48" s="17" t="str"/>
      <x:c r="L48" s="16"/>
      <x:c r="M48" s="17" t="str"/>
      <x:c r="N48" s="17" t="str"/>
      <x:c r="O48" s="18" t="str">
        <x:f>IF(AND(G48="",H48=""),"",N(G48)-N(H48))</x:f>
      </x:c>
    </x:row>
    <x:row r="49">
      <x:c r="A49" s="16"/>
      <x:c r="B49" s="17" t="str"/>
      <x:c r="C49" s="17" t="str"/>
      <x:c r="D49" s="17" t="str"/>
      <x:c r="E49" s="17" t="str"/>
      <x:c r="F49" s="17" t="str"/>
      <x:c r="G49" s="18"/>
      <x:c r="H49" s="18"/>
      <x:c r="I49" s="17" t="str"/>
      <x:c r="J49" s="17" t="str"/>
      <x:c r="K49" s="17" t="str"/>
      <x:c r="L49" s="16"/>
      <x:c r="M49" s="17" t="str"/>
      <x:c r="N49" s="17" t="str"/>
      <x:c r="O49" s="18" t="str">
        <x:f>IF(AND(G49="",H49=""),"",N(G49)-N(H49))</x:f>
      </x:c>
    </x:row>
    <x:row r="50">
      <x:c r="A50" s="16"/>
      <x:c r="B50" s="17" t="str"/>
      <x:c r="C50" s="17" t="str"/>
      <x:c r="D50" s="17" t="str"/>
      <x:c r="E50" s="17" t="str"/>
      <x:c r="F50" s="17" t="str"/>
      <x:c r="G50" s="18"/>
      <x:c r="H50" s="18"/>
      <x:c r="I50" s="17" t="str"/>
      <x:c r="J50" s="17" t="str"/>
      <x:c r="K50" s="17" t="str"/>
      <x:c r="L50" s="16"/>
      <x:c r="M50" s="17" t="str"/>
      <x:c r="N50" s="17" t="str"/>
      <x:c r="O50" s="18" t="str">
        <x:f>IF(AND(G50="",H50=""),"",N(G50)-N(H50))</x:f>
      </x:c>
    </x:row>
    <x:row r="51">
      <x:c r="A51" s="16"/>
      <x:c r="B51" s="17" t="str"/>
      <x:c r="C51" s="17" t="str"/>
      <x:c r="D51" s="17" t="str"/>
      <x:c r="E51" s="17" t="str"/>
      <x:c r="F51" s="17" t="str"/>
      <x:c r="G51" s="18"/>
      <x:c r="H51" s="18"/>
      <x:c r="I51" s="17" t="str"/>
      <x:c r="J51" s="17" t="str"/>
      <x:c r="K51" s="17" t="str"/>
      <x:c r="L51" s="16"/>
      <x:c r="M51" s="17" t="str"/>
      <x:c r="N51" s="17" t="str"/>
      <x:c r="O51" s="18" t="str">
        <x:f>IF(AND(G51="",H51=""),"",N(G51)-N(H51))</x:f>
      </x:c>
    </x:row>
    <x:row r="52">
      <x:c r="A52" s="16"/>
      <x:c r="B52" s="17" t="str"/>
      <x:c r="C52" s="17" t="str"/>
      <x:c r="D52" s="17" t="str"/>
      <x:c r="E52" s="17" t="str"/>
      <x:c r="F52" s="17" t="str"/>
      <x:c r="G52" s="18"/>
      <x:c r="H52" s="18"/>
      <x:c r="I52" s="17" t="str"/>
      <x:c r="J52" s="17" t="str"/>
      <x:c r="K52" s="17" t="str"/>
      <x:c r="L52" s="16"/>
      <x:c r="M52" s="17" t="str"/>
      <x:c r="N52" s="17" t="str"/>
      <x:c r="O52" s="18" t="str">
        <x:f>IF(AND(G52="",H52=""),"",N(G52)-N(H52))</x:f>
      </x:c>
    </x:row>
    <x:row r="53">
      <x:c r="A53" s="16"/>
      <x:c r="B53" s="17" t="str"/>
      <x:c r="C53" s="17" t="str"/>
      <x:c r="D53" s="17" t="str"/>
      <x:c r="E53" s="17" t="str"/>
      <x:c r="F53" s="17" t="str"/>
      <x:c r="G53" s="18"/>
      <x:c r="H53" s="18"/>
      <x:c r="I53" s="17" t="str"/>
      <x:c r="J53" s="17" t="str"/>
      <x:c r="K53" s="17" t="str"/>
      <x:c r="L53" s="16"/>
      <x:c r="M53" s="17" t="str"/>
      <x:c r="N53" s="17" t="str"/>
      <x:c r="O53" s="18" t="str">
        <x:f>IF(AND(G53="",H53=""),"",N(G53)-N(H53))</x:f>
      </x:c>
    </x:row>
    <x:row r="54">
      <x:c r="A54" s="16"/>
      <x:c r="B54" s="17" t="str"/>
      <x:c r="C54" s="17" t="str"/>
      <x:c r="D54" s="17" t="str"/>
      <x:c r="E54" s="17" t="str"/>
      <x:c r="F54" s="17" t="str"/>
      <x:c r="G54" s="18"/>
      <x:c r="H54" s="18"/>
      <x:c r="I54" s="17" t="str"/>
      <x:c r="J54" s="17" t="str"/>
      <x:c r="K54" s="17" t="str"/>
      <x:c r="L54" s="16"/>
      <x:c r="M54" s="17" t="str"/>
      <x:c r="N54" s="17" t="str"/>
      <x:c r="O54" s="18" t="str">
        <x:f>IF(AND(G54="",H54=""),"",N(G54)-N(H54))</x:f>
      </x:c>
    </x:row>
    <x:row r="55">
      <x:c r="A55" s="16"/>
      <x:c r="B55" s="17" t="str"/>
      <x:c r="C55" s="17" t="str"/>
      <x:c r="D55" s="17" t="str"/>
      <x:c r="E55" s="17" t="str"/>
      <x:c r="F55" s="17" t="str"/>
      <x:c r="G55" s="18"/>
      <x:c r="H55" s="18"/>
      <x:c r="I55" s="17" t="str"/>
      <x:c r="J55" s="17" t="str"/>
      <x:c r="K55" s="17" t="str"/>
      <x:c r="L55" s="16"/>
      <x:c r="M55" s="17" t="str"/>
      <x:c r="N55" s="17" t="str"/>
      <x:c r="O55" s="18" t="str">
        <x:f>IF(AND(G55="",H55=""),"",N(G55)-N(H55))</x:f>
      </x:c>
    </x:row>
    <x:row r="56">
      <x:c r="A56" s="16"/>
      <x:c r="B56" s="17" t="str"/>
      <x:c r="C56" s="17" t="str"/>
      <x:c r="D56" s="17" t="str"/>
      <x:c r="E56" s="17" t="str"/>
      <x:c r="F56" s="17" t="str"/>
      <x:c r="G56" s="18"/>
      <x:c r="H56" s="18"/>
      <x:c r="I56" s="17" t="str"/>
      <x:c r="J56" s="17" t="str"/>
      <x:c r="K56" s="17" t="str"/>
      <x:c r="L56" s="16"/>
      <x:c r="M56" s="17" t="str"/>
      <x:c r="N56" s="17" t="str"/>
      <x:c r="O56" s="18" t="str">
        <x:f>IF(AND(G56="",H56=""),"",N(G56)-N(H56))</x:f>
      </x:c>
    </x:row>
    <x:row r="57">
      <x:c r="A57" s="16"/>
      <x:c r="B57" s="17" t="str"/>
      <x:c r="C57" s="17" t="str"/>
      <x:c r="D57" s="17" t="str"/>
      <x:c r="E57" s="17" t="str"/>
      <x:c r="F57" s="17" t="str"/>
      <x:c r="G57" s="18"/>
      <x:c r="H57" s="18"/>
      <x:c r="I57" s="17" t="str"/>
      <x:c r="J57" s="17" t="str"/>
      <x:c r="K57" s="17" t="str"/>
      <x:c r="L57" s="16"/>
      <x:c r="M57" s="17" t="str"/>
      <x:c r="N57" s="17" t="str"/>
      <x:c r="O57" s="18" t="str">
        <x:f>IF(AND(G57="",H57=""),"",N(G57)-N(H57))</x:f>
      </x:c>
    </x:row>
    <x:row r="58">
      <x:c r="A58" s="16"/>
      <x:c r="B58" s="17" t="str"/>
      <x:c r="C58" s="17" t="str"/>
      <x:c r="D58" s="17" t="str"/>
      <x:c r="E58" s="17" t="str"/>
      <x:c r="F58" s="17" t="str"/>
      <x:c r="G58" s="18"/>
      <x:c r="H58" s="18"/>
      <x:c r="I58" s="17" t="str"/>
      <x:c r="J58" s="17" t="str"/>
      <x:c r="K58" s="17" t="str"/>
      <x:c r="L58" s="16"/>
      <x:c r="M58" s="17" t="str"/>
      <x:c r="N58" s="17" t="str"/>
      <x:c r="O58" s="18" t="str">
        <x:f>IF(AND(G58="",H58=""),"",N(G58)-N(H58))</x:f>
      </x:c>
    </x:row>
    <x:row r="59">
      <x:c r="A59" s="16"/>
      <x:c r="B59" s="17" t="str"/>
      <x:c r="C59" s="17" t="str"/>
      <x:c r="D59" s="17" t="str"/>
      <x:c r="E59" s="17" t="str"/>
      <x:c r="F59" s="17" t="str"/>
      <x:c r="G59" s="18"/>
      <x:c r="H59" s="18"/>
      <x:c r="I59" s="17" t="str"/>
      <x:c r="J59" s="17" t="str"/>
      <x:c r="K59" s="17" t="str"/>
      <x:c r="L59" s="16"/>
      <x:c r="M59" s="17" t="str"/>
      <x:c r="N59" s="17" t="str"/>
      <x:c r="O59" s="18" t="str">
        <x:f>IF(AND(G59="",H59=""),"",N(G59)-N(H59))</x:f>
      </x:c>
    </x:row>
    <x:row r="60">
      <x:c r="A60" s="16"/>
      <x:c r="B60" s="17" t="str"/>
      <x:c r="C60" s="17" t="str"/>
      <x:c r="D60" s="17" t="str"/>
      <x:c r="E60" s="17" t="str"/>
      <x:c r="F60" s="17" t="str"/>
      <x:c r="G60" s="18"/>
      <x:c r="H60" s="18"/>
      <x:c r="I60" s="17" t="str"/>
      <x:c r="J60" s="17" t="str"/>
      <x:c r="K60" s="17" t="str"/>
      <x:c r="L60" s="16"/>
      <x:c r="M60" s="17" t="str"/>
      <x:c r="N60" s="17" t="str"/>
      <x:c r="O60" s="18" t="str">
        <x:f>IF(AND(G60="",H60=""),"",N(G60)-N(H60))</x:f>
      </x:c>
    </x:row>
    <x:row r="61">
      <x:c r="A61" s="16"/>
      <x:c r="B61" s="17" t="str"/>
      <x:c r="C61" s="17" t="str"/>
      <x:c r="D61" s="17" t="str"/>
      <x:c r="E61" s="17" t="str"/>
      <x:c r="F61" s="17" t="str"/>
      <x:c r="G61" s="18"/>
      <x:c r="H61" s="18"/>
      <x:c r="I61" s="17" t="str"/>
      <x:c r="J61" s="17" t="str"/>
      <x:c r="K61" s="17" t="str"/>
      <x:c r="L61" s="16"/>
      <x:c r="M61" s="17" t="str"/>
      <x:c r="N61" s="17" t="str"/>
      <x:c r="O61" s="18" t="str">
        <x:f>IF(AND(G61="",H61=""),"",N(G61)-N(H61))</x:f>
      </x:c>
    </x:row>
    <x:row r="62">
      <x:c r="A62" s="16"/>
      <x:c r="B62" s="17" t="str"/>
      <x:c r="C62" s="17" t="str"/>
      <x:c r="D62" s="17" t="str"/>
      <x:c r="E62" s="17" t="str"/>
      <x:c r="F62" s="17" t="str"/>
      <x:c r="G62" s="18"/>
      <x:c r="H62" s="18"/>
      <x:c r="I62" s="17" t="str"/>
      <x:c r="J62" s="17" t="str"/>
      <x:c r="K62" s="17" t="str"/>
      <x:c r="L62" s="16"/>
      <x:c r="M62" s="17" t="str"/>
      <x:c r="N62" s="17" t="str"/>
      <x:c r="O62" s="18" t="str">
        <x:f>IF(AND(G62="",H62=""),"",N(G62)-N(H62))</x:f>
      </x:c>
    </x:row>
    <x:row r="63">
      <x:c r="A63" s="16"/>
      <x:c r="B63" s="17" t="str"/>
      <x:c r="C63" s="17" t="str"/>
      <x:c r="D63" s="17" t="str"/>
      <x:c r="E63" s="17" t="str"/>
      <x:c r="F63" s="17" t="str"/>
      <x:c r="G63" s="18"/>
      <x:c r="H63" s="18"/>
      <x:c r="I63" s="17" t="str"/>
      <x:c r="J63" s="17" t="str"/>
      <x:c r="K63" s="17" t="str"/>
      <x:c r="L63" s="16"/>
      <x:c r="M63" s="17" t="str"/>
      <x:c r="N63" s="17" t="str"/>
      <x:c r="O63" s="18" t="str">
        <x:f>IF(AND(G63="",H63=""),"",N(G63)-N(H63))</x:f>
      </x:c>
    </x:row>
    <x:row r="64">
      <x:c r="A64" s="16"/>
      <x:c r="B64" s="17" t="str"/>
      <x:c r="C64" s="17" t="str"/>
      <x:c r="D64" s="17" t="str"/>
      <x:c r="E64" s="17" t="str"/>
      <x:c r="F64" s="17" t="str"/>
      <x:c r="G64" s="18"/>
      <x:c r="H64" s="18"/>
      <x:c r="I64" s="17" t="str"/>
      <x:c r="J64" s="17" t="str"/>
      <x:c r="K64" s="17" t="str"/>
      <x:c r="L64" s="16"/>
      <x:c r="M64" s="17" t="str"/>
      <x:c r="N64" s="17" t="str"/>
      <x:c r="O64" s="18" t="str">
        <x:f>IF(AND(G64="",H64=""),"",N(G64)-N(H64))</x:f>
      </x:c>
    </x:row>
    <x:row r="65">
      <x:c r="A65" s="16"/>
      <x:c r="B65" s="17" t="str"/>
      <x:c r="C65" s="17" t="str"/>
      <x:c r="D65" s="17" t="str"/>
      <x:c r="E65" s="17" t="str"/>
      <x:c r="F65" s="17" t="str"/>
      <x:c r="G65" s="18"/>
      <x:c r="H65" s="18"/>
      <x:c r="I65" s="17" t="str"/>
      <x:c r="J65" s="17" t="str"/>
      <x:c r="K65" s="17" t="str"/>
      <x:c r="L65" s="16"/>
      <x:c r="M65" s="17" t="str"/>
      <x:c r="N65" s="17" t="str"/>
      <x:c r="O65" s="18" t="str">
        <x:f>IF(AND(G65="",H65=""),"",N(G65)-N(H65))</x:f>
      </x:c>
    </x:row>
    <x:row r="66">
      <x:c r="A66" s="16"/>
      <x:c r="B66" s="17" t="str"/>
      <x:c r="C66" s="17" t="str"/>
      <x:c r="D66" s="17" t="str"/>
      <x:c r="E66" s="17" t="str"/>
      <x:c r="F66" s="17" t="str"/>
      <x:c r="G66" s="18"/>
      <x:c r="H66" s="18"/>
      <x:c r="I66" s="17" t="str"/>
      <x:c r="J66" s="17" t="str"/>
      <x:c r="K66" s="17" t="str"/>
      <x:c r="L66" s="16"/>
      <x:c r="M66" s="17" t="str"/>
      <x:c r="N66" s="17" t="str"/>
      <x:c r="O66" s="18" t="str">
        <x:f>IF(AND(G66="",H66=""),"",N(G66)-N(H66))</x:f>
      </x:c>
    </x:row>
    <x:row r="67">
      <x:c r="A67" s="16"/>
      <x:c r="B67" s="17" t="str"/>
      <x:c r="C67" s="17" t="str"/>
      <x:c r="D67" s="17" t="str"/>
      <x:c r="E67" s="17" t="str"/>
      <x:c r="F67" s="17" t="str"/>
      <x:c r="G67" s="18"/>
      <x:c r="H67" s="18"/>
      <x:c r="I67" s="17" t="str"/>
      <x:c r="J67" s="17" t="str"/>
      <x:c r="K67" s="17" t="str"/>
      <x:c r="L67" s="16"/>
      <x:c r="M67" s="17" t="str"/>
      <x:c r="N67" s="17" t="str"/>
      <x:c r="O67" s="18" t="str">
        <x:f>IF(AND(G67="",H67=""),"",N(G67)-N(H67))</x:f>
      </x:c>
    </x:row>
    <x:row r="68">
      <x:c r="A68" s="16"/>
      <x:c r="B68" s="17" t="str"/>
      <x:c r="C68" s="17" t="str"/>
      <x:c r="D68" s="17" t="str"/>
      <x:c r="E68" s="17" t="str"/>
      <x:c r="F68" s="17" t="str"/>
      <x:c r="G68" s="18"/>
      <x:c r="H68" s="18"/>
      <x:c r="I68" s="17" t="str"/>
      <x:c r="J68" s="17" t="str"/>
      <x:c r="K68" s="17" t="str"/>
      <x:c r="L68" s="16"/>
      <x:c r="M68" s="17" t="str"/>
      <x:c r="N68" s="17" t="str"/>
      <x:c r="O68" s="18" t="str">
        <x:f>IF(AND(G68="",H68=""),"",N(G68)-N(H68))</x:f>
      </x:c>
    </x:row>
    <x:row r="69">
      <x:c r="A69" s="16"/>
      <x:c r="B69" s="17" t="str"/>
      <x:c r="C69" s="17" t="str"/>
      <x:c r="D69" s="17" t="str"/>
      <x:c r="E69" s="17" t="str"/>
      <x:c r="F69" s="17" t="str"/>
      <x:c r="G69" s="18"/>
      <x:c r="H69" s="18"/>
      <x:c r="I69" s="17" t="str"/>
      <x:c r="J69" s="17" t="str"/>
      <x:c r="K69" s="17" t="str"/>
      <x:c r="L69" s="16"/>
      <x:c r="M69" s="17" t="str"/>
      <x:c r="N69" s="17" t="str"/>
      <x:c r="O69" s="18" t="str">
        <x:f>IF(AND(G69="",H69=""),"",N(G69)-N(H69))</x:f>
      </x:c>
    </x:row>
    <x:row r="70">
      <x:c r="A70" s="16"/>
      <x:c r="B70" s="17" t="str"/>
      <x:c r="C70" s="17" t="str"/>
      <x:c r="D70" s="17" t="str"/>
      <x:c r="E70" s="17" t="str"/>
      <x:c r="F70" s="17" t="str"/>
      <x:c r="G70" s="18"/>
      <x:c r="H70" s="18"/>
      <x:c r="I70" s="17" t="str"/>
      <x:c r="J70" s="17" t="str"/>
      <x:c r="K70" s="17" t="str"/>
      <x:c r="L70" s="16"/>
      <x:c r="M70" s="17" t="str"/>
      <x:c r="N70" s="17" t="str"/>
      <x:c r="O70" s="18" t="str">
        <x:f>IF(AND(G70="",H70=""),"",N(G70)-N(H70))</x:f>
      </x:c>
    </x:row>
    <x:row r="71">
      <x:c r="A71" s="16"/>
      <x:c r="B71" s="17" t="str"/>
      <x:c r="C71" s="17" t="str"/>
      <x:c r="D71" s="17" t="str"/>
      <x:c r="E71" s="17" t="str"/>
      <x:c r="F71" s="17" t="str"/>
      <x:c r="G71" s="18"/>
      <x:c r="H71" s="18"/>
      <x:c r="I71" s="17" t="str"/>
      <x:c r="J71" s="17" t="str"/>
      <x:c r="K71" s="17" t="str"/>
      <x:c r="L71" s="16"/>
      <x:c r="M71" s="17" t="str"/>
      <x:c r="N71" s="17" t="str"/>
      <x:c r="O71" s="18" t="str">
        <x:f>IF(AND(G71="",H71=""),"",N(G71)-N(H71))</x:f>
      </x:c>
    </x:row>
    <x:row r="72">
      <x:c r="A72" s="16"/>
      <x:c r="B72" s="17" t="str"/>
      <x:c r="C72" s="17" t="str"/>
      <x:c r="D72" s="17" t="str"/>
      <x:c r="E72" s="17" t="str"/>
      <x:c r="F72" s="17" t="str"/>
      <x:c r="G72" s="18"/>
      <x:c r="H72" s="18"/>
      <x:c r="I72" s="17" t="str"/>
      <x:c r="J72" s="17" t="str"/>
      <x:c r="K72" s="17" t="str"/>
      <x:c r="L72" s="16"/>
      <x:c r="M72" s="17" t="str"/>
      <x:c r="N72" s="17" t="str"/>
      <x:c r="O72" s="18" t="str">
        <x:f>IF(AND(G72="",H72=""),"",N(G72)-N(H72))</x:f>
      </x:c>
    </x:row>
    <x:row r="73">
      <x:c r="A73" s="16"/>
      <x:c r="B73" s="17" t="str"/>
      <x:c r="C73" s="17" t="str"/>
      <x:c r="D73" s="17" t="str"/>
      <x:c r="E73" s="17" t="str"/>
      <x:c r="F73" s="17" t="str"/>
      <x:c r="G73" s="18"/>
      <x:c r="H73" s="18"/>
      <x:c r="I73" s="17" t="str"/>
      <x:c r="J73" s="17" t="str"/>
      <x:c r="K73" s="17" t="str"/>
      <x:c r="L73" s="16"/>
      <x:c r="M73" s="17" t="str"/>
      <x:c r="N73" s="17" t="str"/>
      <x:c r="O73" s="18" t="str">
        <x:f>IF(AND(G73="",H73=""),"",N(G73)-N(H73))</x:f>
      </x:c>
    </x:row>
    <x:row r="74">
      <x:c r="A74" s="16"/>
      <x:c r="B74" s="17" t="str"/>
      <x:c r="C74" s="17" t="str"/>
      <x:c r="D74" s="17" t="str"/>
      <x:c r="E74" s="17" t="str"/>
      <x:c r="F74" s="17" t="str"/>
      <x:c r="G74" s="18"/>
      <x:c r="H74" s="18"/>
      <x:c r="I74" s="17" t="str"/>
      <x:c r="J74" s="17" t="str"/>
      <x:c r="K74" s="17" t="str"/>
      <x:c r="L74" s="16"/>
      <x:c r="M74" s="17" t="str"/>
      <x:c r="N74" s="17" t="str"/>
      <x:c r="O74" s="18" t="str">
        <x:f>IF(AND(G74="",H74=""),"",N(G74)-N(H74))</x:f>
      </x:c>
    </x:row>
    <x:row r="75">
      <x:c r="A75" s="16"/>
      <x:c r="B75" s="17" t="str"/>
      <x:c r="C75" s="17" t="str"/>
      <x:c r="D75" s="17" t="str"/>
      <x:c r="E75" s="17" t="str"/>
      <x:c r="F75" s="17" t="str"/>
      <x:c r="G75" s="18"/>
      <x:c r="H75" s="18"/>
      <x:c r="I75" s="17" t="str"/>
      <x:c r="J75" s="17" t="str"/>
      <x:c r="K75" s="17" t="str"/>
      <x:c r="L75" s="16"/>
      <x:c r="M75" s="17" t="str"/>
      <x:c r="N75" s="17" t="str"/>
      <x:c r="O75" s="18" t="str">
        <x:f>IF(AND(G75="",H75=""),"",N(G75)-N(H75))</x:f>
      </x:c>
    </x:row>
    <x:row r="76">
      <x:c r="A76" s="16"/>
      <x:c r="B76" s="17" t="str"/>
      <x:c r="C76" s="17" t="str"/>
      <x:c r="D76" s="17" t="str"/>
      <x:c r="E76" s="17" t="str"/>
      <x:c r="F76" s="17" t="str"/>
      <x:c r="G76" s="18"/>
      <x:c r="H76" s="18"/>
      <x:c r="I76" s="17" t="str"/>
      <x:c r="J76" s="17" t="str"/>
      <x:c r="K76" s="17" t="str"/>
      <x:c r="L76" s="16"/>
      <x:c r="M76" s="17" t="str"/>
      <x:c r="N76" s="17" t="str"/>
      <x:c r="O76" s="18" t="str">
        <x:f>IF(AND(G76="",H76=""),"",N(G76)-N(H76))</x:f>
      </x:c>
    </x:row>
    <x:row r="77">
      <x:c r="A77" s="16"/>
      <x:c r="B77" s="17" t="str"/>
      <x:c r="C77" s="17" t="str"/>
      <x:c r="D77" s="17" t="str"/>
      <x:c r="E77" s="17" t="str"/>
      <x:c r="F77" s="17" t="str"/>
      <x:c r="G77" s="18"/>
      <x:c r="H77" s="18"/>
      <x:c r="I77" s="17" t="str"/>
      <x:c r="J77" s="17" t="str"/>
      <x:c r="K77" s="17" t="str"/>
      <x:c r="L77" s="16"/>
      <x:c r="M77" s="17" t="str"/>
      <x:c r="N77" s="17" t="str"/>
      <x:c r="O77" s="18" t="str">
        <x:f>IF(AND(G77="",H77=""),"",N(G77)-N(H77))</x:f>
      </x:c>
    </x:row>
    <x:row r="78">
      <x:c r="A78" s="16"/>
      <x:c r="B78" s="17" t="str"/>
      <x:c r="C78" s="17" t="str"/>
      <x:c r="D78" s="17" t="str"/>
      <x:c r="E78" s="17" t="str"/>
      <x:c r="F78" s="17" t="str"/>
      <x:c r="G78" s="18"/>
      <x:c r="H78" s="18"/>
      <x:c r="I78" s="17" t="str"/>
      <x:c r="J78" s="17" t="str"/>
      <x:c r="K78" s="17" t="str"/>
      <x:c r="L78" s="16"/>
      <x:c r="M78" s="17" t="str"/>
      <x:c r="N78" s="17" t="str"/>
      <x:c r="O78" s="18" t="str">
        <x:f>IF(AND(G78="",H78=""),"",N(G78)-N(H78))</x:f>
      </x:c>
    </x:row>
    <x:row r="79">
      <x:c r="A79" s="16"/>
      <x:c r="B79" s="17" t="str"/>
      <x:c r="C79" s="17" t="str"/>
      <x:c r="D79" s="17" t="str"/>
      <x:c r="E79" s="17" t="str"/>
      <x:c r="F79" s="17" t="str"/>
      <x:c r="G79" s="18"/>
      <x:c r="H79" s="18"/>
      <x:c r="I79" s="17" t="str"/>
      <x:c r="J79" s="17" t="str"/>
      <x:c r="K79" s="17" t="str"/>
      <x:c r="L79" s="16"/>
      <x:c r="M79" s="17" t="str"/>
      <x:c r="N79" s="17" t="str"/>
      <x:c r="O79" s="18" t="str">
        <x:f>IF(AND(G79="",H79=""),"",N(G79)-N(H79))</x:f>
      </x:c>
    </x:row>
    <x:row r="80">
      <x:c r="A80" s="16"/>
      <x:c r="B80" s="17" t="str"/>
      <x:c r="C80" s="17" t="str"/>
      <x:c r="D80" s="17" t="str"/>
      <x:c r="E80" s="17" t="str"/>
      <x:c r="F80" s="17" t="str"/>
      <x:c r="G80" s="18"/>
      <x:c r="H80" s="18"/>
      <x:c r="I80" s="17" t="str"/>
      <x:c r="J80" s="17" t="str"/>
      <x:c r="K80" s="17" t="str"/>
      <x:c r="L80" s="16"/>
      <x:c r="M80" s="17" t="str"/>
      <x:c r="N80" s="17" t="str"/>
      <x:c r="O80" s="18" t="str">
        <x:f>IF(AND(G80="",H80=""),"",N(G80)-N(H80))</x:f>
      </x:c>
    </x:row>
    <x:row r="81">
      <x:c r="A81" s="16"/>
      <x:c r="B81" s="17" t="str"/>
      <x:c r="C81" s="17" t="str"/>
      <x:c r="D81" s="17" t="str"/>
      <x:c r="E81" s="17" t="str"/>
      <x:c r="F81" s="17" t="str"/>
      <x:c r="G81" s="18"/>
      <x:c r="H81" s="18"/>
      <x:c r="I81" s="17" t="str"/>
      <x:c r="J81" s="17" t="str"/>
      <x:c r="K81" s="17" t="str"/>
      <x:c r="L81" s="16"/>
      <x:c r="M81" s="17" t="str"/>
      <x:c r="N81" s="17" t="str"/>
      <x:c r="O81" s="18" t="str">
        <x:f>IF(AND(G81="",H81=""),"",N(G81)-N(H81))</x:f>
      </x:c>
    </x:row>
    <x:row r="82">
      <x:c r="A82" s="16"/>
      <x:c r="B82" s="17" t="str"/>
      <x:c r="C82" s="17" t="str"/>
      <x:c r="D82" s="17" t="str"/>
      <x:c r="E82" s="17" t="str"/>
      <x:c r="F82" s="17" t="str"/>
      <x:c r="G82" s="18"/>
      <x:c r="H82" s="18"/>
      <x:c r="I82" s="17" t="str"/>
      <x:c r="J82" s="17" t="str"/>
      <x:c r="K82" s="17" t="str"/>
      <x:c r="L82" s="16"/>
      <x:c r="M82" s="17" t="str"/>
      <x:c r="N82" s="17" t="str"/>
      <x:c r="O82" s="18" t="str">
        <x:f>IF(AND(G82="",H82=""),"",N(G82)-N(H82))</x:f>
      </x:c>
    </x:row>
    <x:row r="83">
      <x:c r="A83" s="16"/>
      <x:c r="B83" s="17" t="str"/>
      <x:c r="C83" s="17" t="str"/>
      <x:c r="D83" s="17" t="str"/>
      <x:c r="E83" s="17" t="str"/>
      <x:c r="F83" s="17" t="str"/>
      <x:c r="G83" s="18"/>
      <x:c r="H83" s="18"/>
      <x:c r="I83" s="17" t="str"/>
      <x:c r="J83" s="17" t="str"/>
      <x:c r="K83" s="17" t="str"/>
      <x:c r="L83" s="16"/>
      <x:c r="M83" s="17" t="str"/>
      <x:c r="N83" s="17" t="str"/>
      <x:c r="O83" s="18" t="str">
        <x:f>IF(AND(G83="",H83=""),"",N(G83)-N(H83))</x:f>
      </x:c>
    </x:row>
    <x:row r="84">
      <x:c r="A84" s="16"/>
      <x:c r="B84" s="17" t="str"/>
      <x:c r="C84" s="17" t="str"/>
      <x:c r="D84" s="17" t="str"/>
      <x:c r="E84" s="17" t="str"/>
      <x:c r="F84" s="17" t="str"/>
      <x:c r="G84" s="18"/>
      <x:c r="H84" s="18"/>
      <x:c r="I84" s="17" t="str"/>
      <x:c r="J84" s="17" t="str"/>
      <x:c r="K84" s="17" t="str"/>
      <x:c r="L84" s="16"/>
      <x:c r="M84" s="17" t="str"/>
      <x:c r="N84" s="17" t="str"/>
      <x:c r="O84" s="18" t="str">
        <x:f>IF(AND(G84="",H84=""),"",N(G84)-N(H84))</x:f>
      </x:c>
    </x:row>
    <x:row r="85">
      <x:c r="A85" s="16"/>
      <x:c r="B85" s="17" t="str"/>
      <x:c r="C85" s="17" t="str"/>
      <x:c r="D85" s="17" t="str"/>
      <x:c r="E85" s="17" t="str"/>
      <x:c r="F85" s="17" t="str"/>
      <x:c r="G85" s="18"/>
      <x:c r="H85" s="18"/>
      <x:c r="I85" s="17" t="str"/>
      <x:c r="J85" s="17" t="str"/>
      <x:c r="K85" s="17" t="str"/>
      <x:c r="L85" s="16"/>
      <x:c r="M85" s="17" t="str"/>
      <x:c r="N85" s="17" t="str"/>
      <x:c r="O85" s="18" t="str">
        <x:f>IF(AND(G85="",H85=""),"",N(G85)-N(H85))</x:f>
      </x:c>
    </x:row>
    <x:row r="86">
      <x:c r="A86" s="16"/>
      <x:c r="B86" s="17" t="str"/>
      <x:c r="C86" s="17" t="str"/>
      <x:c r="D86" s="17" t="str"/>
      <x:c r="E86" s="17" t="str"/>
      <x:c r="F86" s="17" t="str"/>
      <x:c r="G86" s="18"/>
      <x:c r="H86" s="18"/>
      <x:c r="I86" s="17" t="str"/>
      <x:c r="J86" s="17" t="str"/>
      <x:c r="K86" s="17" t="str"/>
      <x:c r="L86" s="16"/>
      <x:c r="M86" s="17" t="str"/>
      <x:c r="N86" s="17" t="str"/>
      <x:c r="O86" s="18" t="str">
        <x:f>IF(AND(G86="",H86=""),"",N(G86)-N(H86))</x:f>
      </x:c>
    </x:row>
    <x:row r="87">
      <x:c r="A87" s="16"/>
      <x:c r="B87" s="17" t="str"/>
      <x:c r="C87" s="17" t="str"/>
      <x:c r="D87" s="17" t="str"/>
      <x:c r="E87" s="17" t="str"/>
      <x:c r="F87" s="17" t="str"/>
      <x:c r="G87" s="18"/>
      <x:c r="H87" s="18"/>
      <x:c r="I87" s="17" t="str"/>
      <x:c r="J87" s="17" t="str"/>
      <x:c r="K87" s="17" t="str"/>
      <x:c r="L87" s="16"/>
      <x:c r="M87" s="17" t="str"/>
      <x:c r="N87" s="17" t="str"/>
      <x:c r="O87" s="18" t="str">
        <x:f>IF(AND(G87="",H87=""),"",N(G87)-N(H87))</x:f>
      </x:c>
    </x:row>
    <x:row r="88">
      <x:c r="A88" s="16"/>
      <x:c r="B88" s="17" t="str"/>
      <x:c r="C88" s="17" t="str"/>
      <x:c r="D88" s="17" t="str"/>
      <x:c r="E88" s="17" t="str"/>
      <x:c r="F88" s="17" t="str"/>
      <x:c r="G88" s="18"/>
      <x:c r="H88" s="18"/>
      <x:c r="I88" s="17" t="str"/>
      <x:c r="J88" s="17" t="str"/>
      <x:c r="K88" s="17" t="str"/>
      <x:c r="L88" s="16"/>
      <x:c r="M88" s="17" t="str"/>
      <x:c r="N88" s="17" t="str"/>
      <x:c r="O88" s="18" t="str">
        <x:f>IF(AND(G88="",H88=""),"",N(G88)-N(H88))</x:f>
      </x:c>
    </x:row>
    <x:row r="89">
      <x:c r="A89" s="16"/>
      <x:c r="B89" s="17" t="str"/>
      <x:c r="C89" s="17" t="str"/>
      <x:c r="D89" s="17" t="str"/>
      <x:c r="E89" s="17" t="str"/>
      <x:c r="F89" s="17" t="str"/>
      <x:c r="G89" s="18"/>
      <x:c r="H89" s="18"/>
      <x:c r="I89" s="17" t="str"/>
      <x:c r="J89" s="17" t="str"/>
      <x:c r="K89" s="17" t="str"/>
      <x:c r="L89" s="16"/>
      <x:c r="M89" s="17" t="str"/>
      <x:c r="N89" s="17" t="str"/>
      <x:c r="O89" s="18" t="str">
        <x:f>IF(AND(G89="",H89=""),"",N(G89)-N(H89))</x:f>
      </x:c>
    </x:row>
    <x:row r="90">
      <x:c r="A90" s="16"/>
      <x:c r="B90" s="17" t="str"/>
      <x:c r="C90" s="17" t="str"/>
      <x:c r="D90" s="17" t="str"/>
      <x:c r="E90" s="17" t="str"/>
      <x:c r="F90" s="17" t="str"/>
      <x:c r="G90" s="18"/>
      <x:c r="H90" s="18"/>
      <x:c r="I90" s="17" t="str"/>
      <x:c r="J90" s="17" t="str"/>
      <x:c r="K90" s="17" t="str"/>
      <x:c r="L90" s="16"/>
      <x:c r="M90" s="17" t="str"/>
      <x:c r="N90" s="17" t="str"/>
      <x:c r="O90" s="18" t="str">
        <x:f>IF(AND(G90="",H90=""),"",N(G90)-N(H90))</x:f>
      </x:c>
    </x:row>
    <x:row r="91">
      <x:c r="A91" s="16"/>
      <x:c r="B91" s="17" t="str"/>
      <x:c r="C91" s="17" t="str"/>
      <x:c r="D91" s="17" t="str"/>
      <x:c r="E91" s="17" t="str"/>
      <x:c r="F91" s="17" t="str"/>
      <x:c r="G91" s="18"/>
      <x:c r="H91" s="18"/>
      <x:c r="I91" s="17" t="str"/>
      <x:c r="J91" s="17" t="str"/>
      <x:c r="K91" s="17" t="str"/>
      <x:c r="L91" s="16"/>
      <x:c r="M91" s="17" t="str"/>
      <x:c r="N91" s="17" t="str"/>
      <x:c r="O91" s="18" t="str">
        <x:f>IF(AND(G91="",H91=""),"",N(G91)-N(H91))</x:f>
      </x:c>
    </x:row>
    <x:row r="92">
      <x:c r="A92" s="16"/>
      <x:c r="B92" s="17" t="str"/>
      <x:c r="C92" s="17" t="str"/>
      <x:c r="D92" s="17" t="str"/>
      <x:c r="E92" s="17" t="str"/>
      <x:c r="F92" s="17" t="str"/>
      <x:c r="G92" s="18"/>
      <x:c r="H92" s="18"/>
      <x:c r="I92" s="17" t="str"/>
      <x:c r="J92" s="17" t="str"/>
      <x:c r="K92" s="17" t="str"/>
      <x:c r="L92" s="16"/>
      <x:c r="M92" s="17" t="str"/>
      <x:c r="N92" s="17" t="str"/>
      <x:c r="O92" s="18" t="str">
        <x:f>IF(AND(G92="",H92=""),"",N(G92)-N(H92))</x:f>
      </x:c>
    </x:row>
    <x:row r="93">
      <x:c r="A93" s="16"/>
      <x:c r="B93" s="17" t="str"/>
      <x:c r="C93" s="17" t="str"/>
      <x:c r="D93" s="17" t="str"/>
      <x:c r="E93" s="17" t="str"/>
      <x:c r="F93" s="17" t="str"/>
      <x:c r="G93" s="18"/>
      <x:c r="H93" s="18"/>
      <x:c r="I93" s="17" t="str"/>
      <x:c r="J93" s="17" t="str"/>
      <x:c r="K93" s="17" t="str"/>
      <x:c r="L93" s="16"/>
      <x:c r="M93" s="17" t="str"/>
      <x:c r="N93" s="17" t="str"/>
      <x:c r="O93" s="18" t="str">
        <x:f>IF(AND(G93="",H93=""),"",N(G93)-N(H93))</x:f>
      </x:c>
    </x:row>
    <x:row r="94">
      <x:c r="A94" s="16"/>
      <x:c r="B94" s="17" t="str"/>
      <x:c r="C94" s="17" t="str"/>
      <x:c r="D94" s="17" t="str"/>
      <x:c r="E94" s="17" t="str"/>
      <x:c r="F94" s="17" t="str"/>
      <x:c r="G94" s="18"/>
      <x:c r="H94" s="18"/>
      <x:c r="I94" s="17" t="str"/>
      <x:c r="J94" s="17" t="str"/>
      <x:c r="K94" s="17" t="str"/>
      <x:c r="L94" s="16"/>
      <x:c r="M94" s="17" t="str"/>
      <x:c r="N94" s="17" t="str"/>
      <x:c r="O94" s="18" t="str">
        <x:f>IF(AND(G94="",H94=""),"",N(G94)-N(H94))</x:f>
      </x:c>
    </x:row>
    <x:row r="95">
      <x:c r="A95" s="16"/>
      <x:c r="B95" s="17" t="str"/>
      <x:c r="C95" s="17" t="str"/>
      <x:c r="D95" s="17" t="str"/>
      <x:c r="E95" s="17" t="str"/>
      <x:c r="F95" s="17" t="str"/>
      <x:c r="G95" s="18"/>
      <x:c r="H95" s="18"/>
      <x:c r="I95" s="17" t="str"/>
      <x:c r="J95" s="17" t="str"/>
      <x:c r="K95" s="17" t="str"/>
      <x:c r="L95" s="16"/>
      <x:c r="M95" s="17" t="str"/>
      <x:c r="N95" s="17" t="str"/>
      <x:c r="O95" s="18" t="str">
        <x:f>IF(AND(G95="",H95=""),"",N(G95)-N(H95))</x:f>
      </x:c>
    </x:row>
    <x:row r="96">
      <x:c r="A96" s="16"/>
      <x:c r="B96" s="17" t="str"/>
      <x:c r="C96" s="17" t="str"/>
      <x:c r="D96" s="17" t="str"/>
      <x:c r="E96" s="17" t="str"/>
      <x:c r="F96" s="17" t="str"/>
      <x:c r="G96" s="18"/>
      <x:c r="H96" s="18"/>
      <x:c r="I96" s="17" t="str"/>
      <x:c r="J96" s="17" t="str"/>
      <x:c r="K96" s="17" t="str"/>
      <x:c r="L96" s="16"/>
      <x:c r="M96" s="17" t="str"/>
      <x:c r="N96" s="17" t="str"/>
      <x:c r="O96" s="18" t="str">
        <x:f>IF(AND(G96="",H96=""),"",N(G96)-N(H96))</x:f>
      </x:c>
    </x:row>
    <x:row r="97">
      <x:c r="A97" s="16"/>
      <x:c r="B97" s="17" t="str"/>
      <x:c r="C97" s="17" t="str"/>
      <x:c r="D97" s="17" t="str"/>
      <x:c r="E97" s="17" t="str"/>
      <x:c r="F97" s="17" t="str"/>
      <x:c r="G97" s="18"/>
      <x:c r="H97" s="18"/>
      <x:c r="I97" s="17" t="str"/>
      <x:c r="J97" s="17" t="str"/>
      <x:c r="K97" s="17" t="str"/>
      <x:c r="L97" s="16"/>
      <x:c r="M97" s="17" t="str"/>
      <x:c r="N97" s="17" t="str"/>
      <x:c r="O97" s="18" t="str">
        <x:f>IF(AND(G97="",H97=""),"",N(G97)-N(H97))</x:f>
      </x:c>
    </x:row>
    <x:row r="98">
      <x:c r="A98" s="16"/>
      <x:c r="B98" s="17" t="str"/>
      <x:c r="C98" s="17" t="str"/>
      <x:c r="D98" s="17" t="str"/>
      <x:c r="E98" s="17" t="str"/>
      <x:c r="F98" s="17" t="str"/>
      <x:c r="G98" s="18"/>
      <x:c r="H98" s="18"/>
      <x:c r="I98" s="17" t="str"/>
      <x:c r="J98" s="17" t="str"/>
      <x:c r="K98" s="17" t="str"/>
      <x:c r="L98" s="16"/>
      <x:c r="M98" s="17" t="str"/>
      <x:c r="N98" s="17" t="str"/>
      <x:c r="O98" s="18" t="str">
        <x:f>IF(AND(G98="",H98=""),"",N(G98)-N(H98))</x:f>
      </x:c>
    </x:row>
    <x:row r="99">
      <x:c r="A99" s="16"/>
      <x:c r="B99" s="17" t="str"/>
      <x:c r="C99" s="17" t="str"/>
      <x:c r="D99" s="17" t="str"/>
      <x:c r="E99" s="17" t="str"/>
      <x:c r="F99" s="17" t="str"/>
      <x:c r="G99" s="18"/>
      <x:c r="H99" s="18"/>
      <x:c r="I99" s="17" t="str"/>
      <x:c r="J99" s="17" t="str"/>
      <x:c r="K99" s="17" t="str"/>
      <x:c r="L99" s="16"/>
      <x:c r="M99" s="17" t="str"/>
      <x:c r="N99" s="17" t="str"/>
      <x:c r="O99" s="18" t="str">
        <x:f>IF(AND(G99="",H99=""),"",N(G99)-N(H99))</x:f>
      </x:c>
    </x:row>
    <x:row r="100">
      <x:c r="A100" s="16"/>
      <x:c r="B100" s="17" t="str"/>
      <x:c r="C100" s="17" t="str"/>
      <x:c r="D100" s="17" t="str"/>
      <x:c r="E100" s="17" t="str"/>
      <x:c r="F100" s="17" t="str"/>
      <x:c r="G100" s="18"/>
      <x:c r="H100" s="18"/>
      <x:c r="I100" s="17" t="str"/>
      <x:c r="J100" s="17" t="str"/>
      <x:c r="K100" s="17" t="str"/>
      <x:c r="L100" s="16"/>
      <x:c r="M100" s="17" t="str"/>
      <x:c r="N100" s="17" t="str"/>
      <x:c r="O100" s="18" t="str">
        <x:f>IF(AND(G100="",H100=""),"",N(G100)-N(H100))</x:f>
      </x:c>
    </x:row>
    <x:row r="101">
      <x:c r="A101" s="16"/>
      <x:c r="B101" s="17" t="str"/>
      <x:c r="C101" s="17" t="str"/>
      <x:c r="D101" s="17" t="str"/>
      <x:c r="E101" s="17" t="str"/>
      <x:c r="F101" s="17" t="str"/>
      <x:c r="G101" s="18"/>
      <x:c r="H101" s="18"/>
      <x:c r="I101" s="17" t="str"/>
      <x:c r="J101" s="17" t="str"/>
      <x:c r="K101" s="17" t="str"/>
      <x:c r="L101" s="16"/>
      <x:c r="M101" s="17" t="str"/>
      <x:c r="N101" s="17" t="str"/>
      <x:c r="O101" s="18" t="str">
        <x:f>IF(AND(G101="",H101=""),"",N(G101)-N(H101))</x:f>
      </x:c>
    </x:row>
    <x:row r="102">
      <x:c r="A102" s="16"/>
      <x:c r="B102" s="17" t="str"/>
      <x:c r="C102" s="17" t="str"/>
      <x:c r="D102" s="17" t="str"/>
      <x:c r="E102" s="17" t="str"/>
      <x:c r="F102" s="17" t="str"/>
      <x:c r="G102" s="18"/>
      <x:c r="H102" s="18"/>
      <x:c r="I102" s="17" t="str"/>
      <x:c r="J102" s="17" t="str"/>
      <x:c r="K102" s="17" t="str"/>
      <x:c r="L102" s="16"/>
      <x:c r="M102" s="17" t="str"/>
      <x:c r="N102" s="17" t="str"/>
      <x:c r="O102" s="18" t="str">
        <x:f>IF(AND(G102="",H102=""),"",N(G102)-N(H102))</x:f>
      </x:c>
    </x:row>
    <x:row r="103">
      <x:c r="A103" s="16"/>
      <x:c r="B103" s="17" t="str"/>
      <x:c r="C103" s="17" t="str"/>
      <x:c r="D103" s="17" t="str"/>
      <x:c r="E103" s="17" t="str"/>
      <x:c r="F103" s="17" t="str"/>
      <x:c r="G103" s="18"/>
      <x:c r="H103" s="18"/>
      <x:c r="I103" s="17" t="str"/>
      <x:c r="J103" s="17" t="str"/>
      <x:c r="K103" s="17" t="str"/>
      <x:c r="L103" s="16"/>
      <x:c r="M103" s="17" t="str"/>
      <x:c r="N103" s="17" t="str"/>
      <x:c r="O103" s="18" t="str">
        <x:f>IF(AND(G103="",H103=""),"",N(G103)-N(H103))</x:f>
      </x:c>
    </x:row>
    <x:row r="104">
      <x:c r="A104" s="16"/>
      <x:c r="B104" s="17" t="str"/>
      <x:c r="C104" s="17" t="str"/>
      <x:c r="D104" s="17" t="str"/>
      <x:c r="E104" s="17" t="str"/>
      <x:c r="F104" s="17" t="str"/>
      <x:c r="G104" s="18"/>
      <x:c r="H104" s="18"/>
      <x:c r="I104" s="17" t="str"/>
      <x:c r="J104" s="17" t="str"/>
      <x:c r="K104" s="17" t="str"/>
      <x:c r="L104" s="16"/>
      <x:c r="M104" s="17" t="str"/>
      <x:c r="N104" s="17" t="str"/>
      <x:c r="O104" s="18" t="str">
        <x:f>IF(AND(G104="",H104=""),"",N(G104)-N(H104))</x:f>
      </x:c>
    </x:row>
    <x:row r="105">
      <x:c r="A105" s="16"/>
      <x:c r="B105" s="17" t="str"/>
      <x:c r="C105" s="17" t="str"/>
      <x:c r="D105" s="17" t="str"/>
      <x:c r="E105" s="17" t="str"/>
      <x:c r="F105" s="17" t="str"/>
      <x:c r="G105" s="18"/>
      <x:c r="H105" s="18"/>
      <x:c r="I105" s="17" t="str"/>
      <x:c r="J105" s="17" t="str"/>
      <x:c r="K105" s="17" t="str"/>
      <x:c r="L105" s="16"/>
      <x:c r="M105" s="17" t="str"/>
      <x:c r="N105" s="17" t="str"/>
      <x:c r="O105" s="18" t="str">
        <x:f>IF(AND(G105="",H105=""),"",N(G105)-N(H105))</x:f>
      </x:c>
    </x:row>
    <x:row r="106">
      <x:c r="A106" s="16"/>
      <x:c r="B106" s="17" t="str"/>
      <x:c r="C106" s="17" t="str"/>
      <x:c r="D106" s="17" t="str"/>
      <x:c r="E106" s="17" t="str"/>
      <x:c r="F106" s="17" t="str"/>
      <x:c r="G106" s="18"/>
      <x:c r="H106" s="18"/>
      <x:c r="I106" s="17" t="str"/>
      <x:c r="J106" s="17" t="str"/>
      <x:c r="K106" s="17" t="str"/>
      <x:c r="L106" s="16"/>
      <x:c r="M106" s="17" t="str"/>
      <x:c r="N106" s="17" t="str"/>
      <x:c r="O106" s="18" t="str">
        <x:f>IF(AND(G106="",H106=""),"",N(G106)-N(H106))</x:f>
      </x:c>
    </x:row>
    <x:row r="107">
      <x:c r="A107" s="16"/>
      <x:c r="B107" s="17" t="str"/>
      <x:c r="C107" s="17" t="str"/>
      <x:c r="D107" s="17" t="str"/>
      <x:c r="E107" s="17" t="str"/>
      <x:c r="F107" s="17" t="str"/>
      <x:c r="G107" s="18"/>
      <x:c r="H107" s="18"/>
      <x:c r="I107" s="17" t="str"/>
      <x:c r="J107" s="17" t="str"/>
      <x:c r="K107" s="17" t="str"/>
      <x:c r="L107" s="16"/>
      <x:c r="M107" s="17" t="str"/>
      <x:c r="N107" s="17" t="str"/>
      <x:c r="O107" s="18" t="str">
        <x:f>IF(AND(G107="",H107=""),"",N(G107)-N(H107))</x:f>
      </x:c>
    </x:row>
    <x:row r="108">
      <x:c r="A108" s="16"/>
      <x:c r="B108" s="17" t="str"/>
      <x:c r="C108" s="17" t="str"/>
      <x:c r="D108" s="17" t="str"/>
      <x:c r="E108" s="17" t="str"/>
      <x:c r="F108" s="17" t="str"/>
      <x:c r="G108" s="18"/>
      <x:c r="H108" s="18"/>
      <x:c r="I108" s="17" t="str"/>
      <x:c r="J108" s="17" t="str"/>
      <x:c r="K108" s="17" t="str"/>
      <x:c r="L108" s="16"/>
      <x:c r="M108" s="17" t="str"/>
      <x:c r="N108" s="17" t="str"/>
      <x:c r="O108" s="18" t="str">
        <x:f>IF(AND(G108="",H108=""),"",N(G108)-N(H108))</x:f>
      </x:c>
    </x:row>
    <x:row r="109">
      <x:c r="A109" s="16"/>
      <x:c r="B109" s="17" t="str"/>
      <x:c r="C109" s="17" t="str"/>
      <x:c r="D109" s="17" t="str"/>
      <x:c r="E109" s="17" t="str"/>
      <x:c r="F109" s="17" t="str"/>
      <x:c r="G109" s="18"/>
      <x:c r="H109" s="18"/>
      <x:c r="I109" s="17" t="str"/>
      <x:c r="J109" s="17" t="str"/>
      <x:c r="K109" s="17" t="str"/>
      <x:c r="L109" s="16"/>
      <x:c r="M109" s="17" t="str"/>
      <x:c r="N109" s="17" t="str"/>
      <x:c r="O109" s="18" t="str">
        <x:f>IF(AND(G109="",H109=""),"",N(G109)-N(H109))</x:f>
      </x:c>
    </x:row>
    <x:row r="110">
      <x:c r="A110" s="16"/>
      <x:c r="B110" s="17" t="str"/>
      <x:c r="C110" s="17" t="str"/>
      <x:c r="D110" s="17" t="str"/>
      <x:c r="E110" s="17" t="str"/>
      <x:c r="F110" s="17" t="str"/>
      <x:c r="G110" s="18"/>
      <x:c r="H110" s="18"/>
      <x:c r="I110" s="17" t="str"/>
      <x:c r="J110" s="17" t="str"/>
      <x:c r="K110" s="17" t="str"/>
      <x:c r="L110" s="16"/>
      <x:c r="M110" s="17" t="str"/>
      <x:c r="N110" s="17" t="str"/>
      <x:c r="O110" s="18" t="str">
        <x:f>IF(AND(G110="",H110=""),"",N(G110)-N(H110))</x:f>
      </x:c>
    </x:row>
    <x:row r="111">
      <x:c r="A111" s="16"/>
      <x:c r="B111" s="17" t="str"/>
      <x:c r="C111" s="17" t="str"/>
      <x:c r="D111" s="17" t="str"/>
      <x:c r="E111" s="17" t="str"/>
      <x:c r="F111" s="17" t="str"/>
      <x:c r="G111" s="18"/>
      <x:c r="H111" s="18"/>
      <x:c r="I111" s="17" t="str"/>
      <x:c r="J111" s="17" t="str"/>
      <x:c r="K111" s="17" t="str"/>
      <x:c r="L111" s="16"/>
      <x:c r="M111" s="17" t="str"/>
      <x:c r="N111" s="17" t="str"/>
      <x:c r="O111" s="18" t="str">
        <x:f>IF(AND(G111="",H111=""),"",N(G111)-N(H111))</x:f>
      </x:c>
    </x:row>
    <x:row r="112">
      <x:c r="A112" s="16"/>
      <x:c r="B112" s="17" t="str"/>
      <x:c r="C112" s="17" t="str"/>
      <x:c r="D112" s="17" t="str"/>
      <x:c r="E112" s="17" t="str"/>
      <x:c r="F112" s="17" t="str"/>
      <x:c r="G112" s="18"/>
      <x:c r="H112" s="18"/>
      <x:c r="I112" s="17" t="str"/>
      <x:c r="J112" s="17" t="str"/>
      <x:c r="K112" s="17" t="str"/>
      <x:c r="L112" s="16"/>
      <x:c r="M112" s="17" t="str"/>
      <x:c r="N112" s="17" t="str"/>
      <x:c r="O112" s="18" t="str">
        <x:f>IF(AND(G112="",H112=""),"",N(G112)-N(H112))</x:f>
      </x:c>
    </x:row>
    <x:row r="113">
      <x:c r="A113" s="16"/>
      <x:c r="B113" s="17" t="str"/>
      <x:c r="C113" s="17" t="str"/>
      <x:c r="D113" s="17" t="str"/>
      <x:c r="E113" s="17" t="str"/>
      <x:c r="F113" s="17" t="str"/>
      <x:c r="G113" s="18"/>
      <x:c r="H113" s="18"/>
      <x:c r="I113" s="17" t="str"/>
      <x:c r="J113" s="17" t="str"/>
      <x:c r="K113" s="17" t="str"/>
      <x:c r="L113" s="16"/>
      <x:c r="M113" s="17" t="str"/>
      <x:c r="N113" s="17" t="str"/>
      <x:c r="O113" s="18" t="str">
        <x:f>IF(AND(G113="",H113=""),"",N(G113)-N(H113))</x:f>
      </x:c>
    </x:row>
    <x:row r="114">
      <x:c r="A114" s="16"/>
      <x:c r="B114" s="17" t="str"/>
      <x:c r="C114" s="17" t="str"/>
      <x:c r="D114" s="17" t="str"/>
      <x:c r="E114" s="17" t="str"/>
      <x:c r="F114" s="17" t="str"/>
      <x:c r="G114" s="18"/>
      <x:c r="H114" s="18"/>
      <x:c r="I114" s="17" t="str"/>
      <x:c r="J114" s="17" t="str"/>
      <x:c r="K114" s="17" t="str"/>
      <x:c r="L114" s="16"/>
      <x:c r="M114" s="17" t="str"/>
      <x:c r="N114" s="17" t="str"/>
      <x:c r="O114" s="18" t="str">
        <x:f>IF(AND(G114="",H114=""),"",N(G114)-N(H114))</x:f>
      </x:c>
    </x:row>
    <x:row r="115">
      <x:c r="A115" s="16"/>
      <x:c r="B115" s="17" t="str"/>
      <x:c r="C115" s="17" t="str"/>
      <x:c r="D115" s="17" t="str"/>
      <x:c r="E115" s="17" t="str"/>
      <x:c r="F115" s="17" t="str"/>
      <x:c r="G115" s="18"/>
      <x:c r="H115" s="18"/>
      <x:c r="I115" s="17" t="str"/>
      <x:c r="J115" s="17" t="str"/>
      <x:c r="K115" s="17" t="str"/>
      <x:c r="L115" s="16"/>
      <x:c r="M115" s="17" t="str"/>
      <x:c r="N115" s="17" t="str"/>
      <x:c r="O115" s="18" t="str">
        <x:f>IF(AND(G115="",H115=""),"",N(G115)-N(H115))</x:f>
      </x:c>
    </x:row>
    <x:row r="116">
      <x:c r="A116" s="16"/>
      <x:c r="B116" s="17" t="str"/>
      <x:c r="C116" s="17" t="str"/>
      <x:c r="D116" s="17" t="str"/>
      <x:c r="E116" s="17" t="str"/>
      <x:c r="F116" s="17" t="str"/>
      <x:c r="G116" s="18"/>
      <x:c r="H116" s="18"/>
      <x:c r="I116" s="17" t="str"/>
      <x:c r="J116" s="17" t="str"/>
      <x:c r="K116" s="17" t="str"/>
      <x:c r="L116" s="16"/>
      <x:c r="M116" s="17" t="str"/>
      <x:c r="N116" s="17" t="str"/>
      <x:c r="O116" s="18" t="str">
        <x:f>IF(AND(G116="",H116=""),"",N(G116)-N(H116))</x:f>
      </x:c>
    </x:row>
    <x:row r="117">
      <x:c r="A117" s="16"/>
      <x:c r="B117" s="17" t="str"/>
      <x:c r="C117" s="17" t="str"/>
      <x:c r="D117" s="17" t="str"/>
      <x:c r="E117" s="17" t="str"/>
      <x:c r="F117" s="17" t="str"/>
      <x:c r="G117" s="18"/>
      <x:c r="H117" s="18"/>
      <x:c r="I117" s="17" t="str"/>
      <x:c r="J117" s="17" t="str"/>
      <x:c r="K117" s="17" t="str"/>
      <x:c r="L117" s="16"/>
      <x:c r="M117" s="17" t="str"/>
      <x:c r="N117" s="17" t="str"/>
      <x:c r="O117" s="18" t="str">
        <x:f>IF(AND(G117="",H117=""),"",N(G117)-N(H117))</x:f>
      </x:c>
    </x:row>
    <x:row r="118">
      <x:c r="A118" s="16"/>
      <x:c r="B118" s="17" t="str"/>
      <x:c r="C118" s="17" t="str"/>
      <x:c r="D118" s="17" t="str"/>
      <x:c r="E118" s="17" t="str"/>
      <x:c r="F118" s="17" t="str"/>
      <x:c r="G118" s="18"/>
      <x:c r="H118" s="18"/>
      <x:c r="I118" s="17" t="str"/>
      <x:c r="J118" s="17" t="str"/>
      <x:c r="K118" s="17" t="str"/>
      <x:c r="L118" s="16"/>
      <x:c r="M118" s="17" t="str"/>
      <x:c r="N118" s="17" t="str"/>
      <x:c r="O118" s="18" t="str">
        <x:f>IF(AND(G118="",H118=""),"",N(G118)-N(H118))</x:f>
      </x:c>
    </x:row>
    <x:row r="119">
      <x:c r="A119" s="16"/>
      <x:c r="B119" s="17" t="str"/>
      <x:c r="C119" s="17" t="str"/>
      <x:c r="D119" s="17" t="str"/>
      <x:c r="E119" s="17" t="str"/>
      <x:c r="F119" s="17" t="str"/>
      <x:c r="G119" s="18"/>
      <x:c r="H119" s="18"/>
      <x:c r="I119" s="17" t="str"/>
      <x:c r="J119" s="17" t="str"/>
      <x:c r="K119" s="17" t="str"/>
      <x:c r="L119" s="16"/>
      <x:c r="M119" s="17" t="str"/>
      <x:c r="N119" s="17" t="str"/>
      <x:c r="O119" s="18" t="str">
        <x:f>IF(AND(G119="",H119=""),"",N(G119)-N(H119))</x:f>
      </x:c>
    </x:row>
    <x:row r="120">
      <x:c r="A120" s="16"/>
      <x:c r="B120" s="17" t="str"/>
      <x:c r="C120" s="17" t="str"/>
      <x:c r="D120" s="17" t="str"/>
      <x:c r="E120" s="17" t="str"/>
      <x:c r="F120" s="17" t="str"/>
      <x:c r="G120" s="18"/>
      <x:c r="H120" s="18"/>
      <x:c r="I120" s="17" t="str"/>
      <x:c r="J120" s="17" t="str"/>
      <x:c r="K120" s="17" t="str"/>
      <x:c r="L120" s="16"/>
      <x:c r="M120" s="17" t="str"/>
      <x:c r="N120" s="17" t="str"/>
      <x:c r="O120" s="18" t="str">
        <x:f>IF(AND(G120="",H120=""),"",N(G120)-N(H120))</x:f>
      </x:c>
    </x:row>
    <x:row r="121">
      <x:c r="A121" s="16"/>
      <x:c r="B121" s="17" t="str"/>
      <x:c r="C121" s="17" t="str"/>
      <x:c r="D121" s="17" t="str"/>
      <x:c r="E121" s="17" t="str"/>
      <x:c r="F121" s="17" t="str"/>
      <x:c r="G121" s="18"/>
      <x:c r="H121" s="18"/>
      <x:c r="I121" s="17" t="str"/>
      <x:c r="J121" s="17" t="str"/>
      <x:c r="K121" s="17" t="str"/>
      <x:c r="L121" s="16"/>
      <x:c r="M121" s="17" t="str"/>
      <x:c r="N121" s="17" t="str"/>
      <x:c r="O121" s="18" t="str">
        <x:f>IF(AND(G121="",H121=""),"",N(G121)-N(H121))</x:f>
      </x:c>
    </x:row>
    <x:row r="122">
      <x:c r="A122" s="16"/>
      <x:c r="B122" s="17" t="str"/>
      <x:c r="C122" s="17" t="str"/>
      <x:c r="D122" s="17" t="str"/>
      <x:c r="E122" s="17" t="str"/>
      <x:c r="F122" s="17" t="str"/>
      <x:c r="G122" s="18"/>
      <x:c r="H122" s="18"/>
      <x:c r="I122" s="17" t="str"/>
      <x:c r="J122" s="17" t="str"/>
      <x:c r="K122" s="17" t="str"/>
      <x:c r="L122" s="16"/>
      <x:c r="M122" s="17" t="str"/>
      <x:c r="N122" s="17" t="str"/>
      <x:c r="O122" s="18" t="str">
        <x:f>IF(AND(G122="",H122=""),"",N(G122)-N(H122))</x:f>
      </x:c>
    </x:row>
    <x:row r="123">
      <x:c r="A123" s="16"/>
      <x:c r="B123" s="17" t="str"/>
      <x:c r="C123" s="17" t="str"/>
      <x:c r="D123" s="17" t="str"/>
      <x:c r="E123" s="17" t="str"/>
      <x:c r="F123" s="17" t="str"/>
      <x:c r="G123" s="18"/>
      <x:c r="H123" s="18"/>
      <x:c r="I123" s="17" t="str"/>
      <x:c r="J123" s="17" t="str"/>
      <x:c r="K123" s="17" t="str"/>
      <x:c r="L123" s="16"/>
      <x:c r="M123" s="17" t="str"/>
      <x:c r="N123" s="17" t="str"/>
      <x:c r="O123" s="18" t="str">
        <x:f>IF(AND(G123="",H123=""),"",N(G123)-N(H123))</x:f>
      </x:c>
    </x:row>
    <x:row r="124">
      <x:c r="A124" s="16"/>
      <x:c r="B124" s="17" t="str"/>
      <x:c r="C124" s="17" t="str"/>
      <x:c r="D124" s="17" t="str"/>
      <x:c r="E124" s="17" t="str"/>
      <x:c r="F124" s="17" t="str"/>
      <x:c r="G124" s="18"/>
      <x:c r="H124" s="18"/>
      <x:c r="I124" s="17" t="str"/>
      <x:c r="J124" s="17" t="str"/>
      <x:c r="K124" s="17" t="str"/>
      <x:c r="L124" s="16"/>
      <x:c r="M124" s="17" t="str"/>
      <x:c r="N124" s="17" t="str"/>
      <x:c r="O124" s="18" t="str">
        <x:f>IF(AND(G124="",H124=""),"",N(G124)-N(H124))</x:f>
      </x:c>
    </x:row>
    <x:row r="125">
      <x:c r="A125" s="16"/>
      <x:c r="B125" s="17" t="str"/>
      <x:c r="C125" s="17" t="str"/>
      <x:c r="D125" s="17" t="str"/>
      <x:c r="E125" s="17" t="str"/>
      <x:c r="F125" s="17" t="str"/>
      <x:c r="G125" s="18"/>
      <x:c r="H125" s="18"/>
      <x:c r="I125" s="17" t="str"/>
      <x:c r="J125" s="17" t="str"/>
      <x:c r="K125" s="17" t="str"/>
      <x:c r="L125" s="16"/>
      <x:c r="M125" s="17" t="str"/>
      <x:c r="N125" s="17" t="str"/>
      <x:c r="O125" s="18" t="str">
        <x:f>IF(AND(G125="",H125=""),"",N(G125)-N(H125))</x:f>
      </x:c>
    </x:row>
    <x:row r="126">
      <x:c r="A126" s="16"/>
      <x:c r="B126" s="17" t="str"/>
      <x:c r="C126" s="17" t="str"/>
      <x:c r="D126" s="17" t="str"/>
      <x:c r="E126" s="17" t="str"/>
      <x:c r="F126" s="17" t="str"/>
      <x:c r="G126" s="18"/>
      <x:c r="H126" s="18"/>
      <x:c r="I126" s="17" t="str"/>
      <x:c r="J126" s="17" t="str"/>
      <x:c r="K126" s="17" t="str"/>
      <x:c r="L126" s="16"/>
      <x:c r="M126" s="17" t="str"/>
      <x:c r="N126" s="17" t="str"/>
      <x:c r="O126" s="18" t="str">
        <x:f>IF(AND(G126="",H126=""),"",N(G126)-N(H126))</x:f>
      </x:c>
    </x:row>
    <x:row r="127">
      <x:c r="A127" s="16"/>
      <x:c r="B127" s="17" t="str"/>
      <x:c r="C127" s="17" t="str"/>
      <x:c r="D127" s="17" t="str"/>
      <x:c r="E127" s="17" t="str"/>
      <x:c r="F127" s="17" t="str"/>
      <x:c r="G127" s="18"/>
      <x:c r="H127" s="18"/>
      <x:c r="I127" s="17" t="str"/>
      <x:c r="J127" s="17" t="str"/>
      <x:c r="K127" s="17" t="str"/>
      <x:c r="L127" s="16"/>
      <x:c r="M127" s="17" t="str"/>
      <x:c r="N127" s="17" t="str"/>
      <x:c r="O127" s="18" t="str">
        <x:f>IF(AND(G127="",H127=""),"",N(G127)-N(H127))</x:f>
      </x:c>
    </x:row>
    <x:row r="128">
      <x:c r="A128" s="16"/>
      <x:c r="B128" s="17" t="str"/>
      <x:c r="C128" s="17" t="str"/>
      <x:c r="D128" s="17" t="str"/>
      <x:c r="E128" s="17" t="str"/>
      <x:c r="F128" s="17" t="str"/>
      <x:c r="G128" s="18"/>
      <x:c r="H128" s="18"/>
      <x:c r="I128" s="17" t="str"/>
      <x:c r="J128" s="17" t="str"/>
      <x:c r="K128" s="17" t="str"/>
      <x:c r="L128" s="16"/>
      <x:c r="M128" s="17" t="str"/>
      <x:c r="N128" s="17" t="str"/>
      <x:c r="O128" s="18" t="str">
        <x:f>IF(AND(G128="",H128=""),"",N(G128)-N(H128))</x:f>
      </x:c>
    </x:row>
    <x:row r="129">
      <x:c r="A129" s="16"/>
      <x:c r="B129" s="17" t="str"/>
      <x:c r="C129" s="17" t="str"/>
      <x:c r="D129" s="17" t="str"/>
      <x:c r="E129" s="17" t="str"/>
      <x:c r="F129" s="17" t="str"/>
      <x:c r="G129" s="18"/>
      <x:c r="H129" s="18"/>
      <x:c r="I129" s="17" t="str"/>
      <x:c r="J129" s="17" t="str"/>
      <x:c r="K129" s="17" t="str"/>
      <x:c r="L129" s="16"/>
      <x:c r="M129" s="17" t="str"/>
      <x:c r="N129" s="17" t="str"/>
      <x:c r="O129" s="18" t="str">
        <x:f>IF(AND(G129="",H129=""),"",N(G129)-N(H129))</x:f>
      </x:c>
    </x:row>
    <x:row r="130">
      <x:c r="A130" s="16"/>
      <x:c r="B130" s="17" t="str"/>
      <x:c r="C130" s="17" t="str"/>
      <x:c r="D130" s="17" t="str"/>
      <x:c r="E130" s="17" t="str"/>
      <x:c r="F130" s="17" t="str"/>
      <x:c r="G130" s="18"/>
      <x:c r="H130" s="18"/>
      <x:c r="I130" s="17" t="str"/>
      <x:c r="J130" s="17" t="str"/>
      <x:c r="K130" s="17" t="str"/>
      <x:c r="L130" s="16"/>
      <x:c r="M130" s="17" t="str"/>
      <x:c r="N130" s="17" t="str"/>
      <x:c r="O130" s="18" t="str">
        <x:f>IF(AND(G130="",H130=""),"",N(G130)-N(H130))</x:f>
      </x:c>
    </x:row>
    <x:row r="131">
      <x:c r="A131" s="16"/>
      <x:c r="B131" s="17" t="str"/>
      <x:c r="C131" s="17" t="str"/>
      <x:c r="D131" s="17" t="str"/>
      <x:c r="E131" s="17" t="str"/>
      <x:c r="F131" s="17" t="str"/>
      <x:c r="G131" s="18"/>
      <x:c r="H131" s="18"/>
      <x:c r="I131" s="17" t="str"/>
      <x:c r="J131" s="17" t="str"/>
      <x:c r="K131" s="17" t="str"/>
      <x:c r="L131" s="16"/>
      <x:c r="M131" s="17" t="str"/>
      <x:c r="N131" s="17" t="str"/>
      <x:c r="O131" s="18" t="str">
        <x:f>IF(AND(G131="",H131=""),"",N(G131)-N(H131))</x:f>
      </x:c>
    </x:row>
    <x:row r="132">
      <x:c r="A132" s="16"/>
      <x:c r="B132" s="17" t="str"/>
      <x:c r="C132" s="17" t="str"/>
      <x:c r="D132" s="17" t="str"/>
      <x:c r="E132" s="17" t="str"/>
      <x:c r="F132" s="17" t="str"/>
      <x:c r="G132" s="18"/>
      <x:c r="H132" s="18"/>
      <x:c r="I132" s="17" t="str"/>
      <x:c r="J132" s="17" t="str"/>
      <x:c r="K132" s="17" t="str"/>
      <x:c r="L132" s="16"/>
      <x:c r="M132" s="17" t="str"/>
      <x:c r="N132" s="17" t="str"/>
      <x:c r="O132" s="18" t="str">
        <x:f>IF(AND(G132="",H132=""),"",N(G132)-N(H132))</x:f>
      </x:c>
    </x:row>
    <x:row r="133">
      <x:c r="A133" s="16"/>
      <x:c r="B133" s="17" t="str"/>
      <x:c r="C133" s="17" t="str"/>
      <x:c r="D133" s="17" t="str"/>
      <x:c r="E133" s="17" t="str"/>
      <x:c r="F133" s="17" t="str"/>
      <x:c r="G133" s="18"/>
      <x:c r="H133" s="18"/>
      <x:c r="I133" s="17" t="str"/>
      <x:c r="J133" s="17" t="str"/>
      <x:c r="K133" s="17" t="str"/>
      <x:c r="L133" s="16"/>
      <x:c r="M133" s="17" t="str"/>
      <x:c r="N133" s="17" t="str"/>
      <x:c r="O133" s="18" t="str">
        <x:f>IF(AND(G133="",H133=""),"",N(G133)-N(H133))</x:f>
      </x:c>
    </x:row>
    <x:row r="134">
      <x:c r="A134" s="16"/>
      <x:c r="B134" s="17" t="str"/>
      <x:c r="C134" s="17" t="str"/>
      <x:c r="D134" s="17" t="str"/>
      <x:c r="E134" s="17" t="str"/>
      <x:c r="F134" s="17" t="str"/>
      <x:c r="G134" s="18"/>
      <x:c r="H134" s="18"/>
      <x:c r="I134" s="17" t="str"/>
      <x:c r="J134" s="17" t="str"/>
      <x:c r="K134" s="17" t="str"/>
      <x:c r="L134" s="16"/>
      <x:c r="M134" s="17" t="str"/>
      <x:c r="N134" s="17" t="str"/>
      <x:c r="O134" s="18" t="str">
        <x:f>IF(AND(G134="",H134=""),"",N(G134)-N(H134))</x:f>
      </x:c>
    </x:row>
    <x:row r="135">
      <x:c r="A135" s="16"/>
      <x:c r="B135" s="17" t="str"/>
      <x:c r="C135" s="17" t="str"/>
      <x:c r="D135" s="17" t="str"/>
      <x:c r="E135" s="17" t="str"/>
      <x:c r="F135" s="17" t="str"/>
      <x:c r="G135" s="18"/>
      <x:c r="H135" s="18"/>
      <x:c r="I135" s="17" t="str"/>
      <x:c r="J135" s="17" t="str"/>
      <x:c r="K135" s="17" t="str"/>
      <x:c r="L135" s="16"/>
      <x:c r="M135" s="17" t="str"/>
      <x:c r="N135" s="17" t="str"/>
      <x:c r="O135" s="18" t="str">
        <x:f>IF(AND(G135="",H135=""),"",N(G135)-N(H135))</x:f>
      </x:c>
    </x:row>
    <x:row r="136">
      <x:c r="A136" s="16"/>
      <x:c r="B136" s="17" t="str"/>
      <x:c r="C136" s="17" t="str"/>
      <x:c r="D136" s="17" t="str"/>
      <x:c r="E136" s="17" t="str"/>
      <x:c r="F136" s="17" t="str"/>
      <x:c r="G136" s="18"/>
      <x:c r="H136" s="18"/>
      <x:c r="I136" s="17" t="str"/>
      <x:c r="J136" s="17" t="str"/>
      <x:c r="K136" s="17" t="str"/>
      <x:c r="L136" s="16"/>
      <x:c r="M136" s="17" t="str"/>
      <x:c r="N136" s="17" t="str"/>
      <x:c r="O136" s="18" t="str">
        <x:f>IF(AND(G136="",H136=""),"",N(G136)-N(H136))</x:f>
      </x:c>
    </x:row>
    <x:row r="137">
      <x:c r="A137" s="16"/>
      <x:c r="B137" s="17" t="str"/>
      <x:c r="C137" s="17" t="str"/>
      <x:c r="D137" s="17" t="str"/>
      <x:c r="E137" s="17" t="str"/>
      <x:c r="F137" s="17" t="str"/>
      <x:c r="G137" s="18"/>
      <x:c r="H137" s="18"/>
      <x:c r="I137" s="17" t="str"/>
      <x:c r="J137" s="17" t="str"/>
      <x:c r="K137" s="17" t="str"/>
      <x:c r="L137" s="16"/>
      <x:c r="M137" s="17" t="str"/>
      <x:c r="N137" s="17" t="str"/>
      <x:c r="O137" s="18" t="str">
        <x:f>IF(AND(G137="",H137=""),"",N(G137)-N(H137))</x:f>
      </x:c>
    </x:row>
    <x:row r="138">
      <x:c r="A138" s="16"/>
      <x:c r="B138" s="17" t="str"/>
      <x:c r="C138" s="17" t="str"/>
      <x:c r="D138" s="17" t="str"/>
      <x:c r="E138" s="17" t="str"/>
      <x:c r="F138" s="17" t="str"/>
      <x:c r="G138" s="18"/>
      <x:c r="H138" s="18"/>
      <x:c r="I138" s="17" t="str"/>
      <x:c r="J138" s="17" t="str"/>
      <x:c r="K138" s="17" t="str"/>
      <x:c r="L138" s="16"/>
      <x:c r="M138" s="17" t="str"/>
      <x:c r="N138" s="17" t="str"/>
      <x:c r="O138" s="18" t="str">
        <x:f>IF(AND(G138="",H138=""),"",N(G138)-N(H138))</x:f>
      </x:c>
    </x:row>
    <x:row r="139">
      <x:c r="A139" s="16"/>
      <x:c r="B139" s="17" t="str"/>
      <x:c r="C139" s="17" t="str"/>
      <x:c r="D139" s="17" t="str"/>
      <x:c r="E139" s="17" t="str"/>
      <x:c r="F139" s="17" t="str"/>
      <x:c r="G139" s="18"/>
      <x:c r="H139" s="18"/>
      <x:c r="I139" s="17" t="str"/>
      <x:c r="J139" s="17" t="str"/>
      <x:c r="K139" s="17" t="str"/>
      <x:c r="L139" s="16"/>
      <x:c r="M139" s="17" t="str"/>
      <x:c r="N139" s="17" t="str"/>
      <x:c r="O139" s="18" t="str">
        <x:f>IF(AND(G139="",H139=""),"",N(G139)-N(H139))</x:f>
      </x:c>
    </x:row>
    <x:row r="140">
      <x:c r="A140" s="16"/>
      <x:c r="B140" s="17" t="str"/>
      <x:c r="C140" s="17" t="str"/>
      <x:c r="D140" s="17" t="str"/>
      <x:c r="E140" s="17" t="str"/>
      <x:c r="F140" s="17" t="str"/>
      <x:c r="G140" s="18"/>
      <x:c r="H140" s="18"/>
      <x:c r="I140" s="17" t="str"/>
      <x:c r="J140" s="17" t="str"/>
      <x:c r="K140" s="17" t="str"/>
      <x:c r="L140" s="16"/>
      <x:c r="M140" s="17" t="str"/>
      <x:c r="N140" s="17" t="str"/>
      <x:c r="O140" s="18" t="str">
        <x:f>IF(AND(G140="",H140=""),"",N(G140)-N(H140))</x:f>
      </x:c>
    </x:row>
    <x:row r="141">
      <x:c r="A141" s="16"/>
      <x:c r="B141" s="17" t="str"/>
      <x:c r="C141" s="17" t="str"/>
      <x:c r="D141" s="17" t="str"/>
      <x:c r="E141" s="17" t="str"/>
      <x:c r="F141" s="17" t="str"/>
      <x:c r="G141" s="18"/>
      <x:c r="H141" s="18"/>
      <x:c r="I141" s="17" t="str"/>
      <x:c r="J141" s="17" t="str"/>
      <x:c r="K141" s="17" t="str"/>
      <x:c r="L141" s="16"/>
      <x:c r="M141" s="17" t="str"/>
      <x:c r="N141" s="17" t="str"/>
      <x:c r="O141" s="18" t="str">
        <x:f>IF(AND(G141="",H141=""),"",N(G141)-N(H141))</x:f>
      </x:c>
    </x:row>
    <x:row r="142">
      <x:c r="A142" s="16"/>
      <x:c r="B142" s="17" t="str"/>
      <x:c r="C142" s="17" t="str"/>
      <x:c r="D142" s="17" t="str"/>
      <x:c r="E142" s="17" t="str"/>
      <x:c r="F142" s="17" t="str"/>
      <x:c r="G142" s="18"/>
      <x:c r="H142" s="18"/>
      <x:c r="I142" s="17" t="str"/>
      <x:c r="J142" s="17" t="str"/>
      <x:c r="K142" s="17" t="str"/>
      <x:c r="L142" s="16"/>
      <x:c r="M142" s="17" t="str"/>
      <x:c r="N142" s="17" t="str"/>
      <x:c r="O142" s="18" t="str">
        <x:f>IF(AND(G142="",H142=""),"",N(G142)-N(H142))</x:f>
      </x:c>
    </x:row>
    <x:row r="143">
      <x:c r="A143" s="16"/>
      <x:c r="B143" s="17" t="str"/>
      <x:c r="C143" s="17" t="str"/>
      <x:c r="D143" s="17" t="str"/>
      <x:c r="E143" s="17" t="str"/>
      <x:c r="F143" s="17" t="str"/>
      <x:c r="G143" s="18"/>
      <x:c r="H143" s="18"/>
      <x:c r="I143" s="17" t="str"/>
      <x:c r="J143" s="17" t="str"/>
      <x:c r="K143" s="17" t="str"/>
      <x:c r="L143" s="16"/>
      <x:c r="M143" s="17" t="str"/>
      <x:c r="N143" s="17" t="str"/>
      <x:c r="O143" s="18" t="str">
        <x:f>IF(AND(G143="",H143=""),"",N(G143)-N(H143))</x:f>
      </x:c>
    </x:row>
    <x:row r="144">
      <x:c r="A144" s="16"/>
      <x:c r="B144" s="17" t="str"/>
      <x:c r="C144" s="17" t="str"/>
      <x:c r="D144" s="17" t="str"/>
      <x:c r="E144" s="17" t="str"/>
      <x:c r="F144" s="17" t="str"/>
      <x:c r="G144" s="18"/>
      <x:c r="H144" s="18"/>
      <x:c r="I144" s="17" t="str"/>
      <x:c r="J144" s="17" t="str"/>
      <x:c r="K144" s="17" t="str"/>
      <x:c r="L144" s="16"/>
      <x:c r="M144" s="17" t="str"/>
      <x:c r="N144" s="17" t="str"/>
      <x:c r="O144" s="18" t="str">
        <x:f>IF(AND(G144="",H144=""),"",N(G144)-N(H144))</x:f>
      </x:c>
    </x:row>
    <x:row r="145">
      <x:c r="A145" s="16"/>
      <x:c r="B145" s="17" t="str"/>
      <x:c r="C145" s="17" t="str"/>
      <x:c r="D145" s="17" t="str"/>
      <x:c r="E145" s="17" t="str"/>
      <x:c r="F145" s="17" t="str"/>
      <x:c r="G145" s="18"/>
      <x:c r="H145" s="18"/>
      <x:c r="I145" s="17" t="str"/>
      <x:c r="J145" s="17" t="str"/>
      <x:c r="K145" s="17" t="str"/>
      <x:c r="L145" s="16"/>
      <x:c r="M145" s="17" t="str"/>
      <x:c r="N145" s="17" t="str"/>
      <x:c r="O145" s="18" t="str">
        <x:f>IF(AND(G145="",H145=""),"",N(G145)-N(H145))</x:f>
      </x:c>
    </x:row>
    <x:row r="146">
      <x:c r="A146" s="16"/>
      <x:c r="B146" s="17" t="str"/>
      <x:c r="C146" s="17" t="str"/>
      <x:c r="D146" s="17" t="str"/>
      <x:c r="E146" s="17" t="str"/>
      <x:c r="F146" s="17" t="str"/>
      <x:c r="G146" s="18"/>
      <x:c r="H146" s="18"/>
      <x:c r="I146" s="17" t="str"/>
      <x:c r="J146" s="17" t="str"/>
      <x:c r="K146" s="17" t="str"/>
      <x:c r="L146" s="16"/>
      <x:c r="M146" s="17" t="str"/>
      <x:c r="N146" s="17" t="str"/>
      <x:c r="O146" s="18" t="str">
        <x:f>IF(AND(G146="",H146=""),"",N(G146)-N(H146))</x:f>
      </x:c>
    </x:row>
    <x:row r="147">
      <x:c r="A147" s="16"/>
      <x:c r="B147" s="17" t="str"/>
      <x:c r="C147" s="17" t="str"/>
      <x:c r="D147" s="17" t="str"/>
      <x:c r="E147" s="17" t="str"/>
      <x:c r="F147" s="17" t="str"/>
      <x:c r="G147" s="18"/>
      <x:c r="H147" s="18"/>
      <x:c r="I147" s="17" t="str"/>
      <x:c r="J147" s="17" t="str"/>
      <x:c r="K147" s="17" t="str"/>
      <x:c r="L147" s="16"/>
      <x:c r="M147" s="17" t="str"/>
      <x:c r="N147" s="17" t="str"/>
      <x:c r="O147" s="18" t="str">
        <x:f>IF(AND(G147="",H147=""),"",N(G147)-N(H147))</x:f>
      </x:c>
    </x:row>
    <x:row r="148">
      <x:c r="A148" s="16"/>
      <x:c r="B148" s="17" t="str"/>
      <x:c r="C148" s="17" t="str"/>
      <x:c r="D148" s="17" t="str"/>
      <x:c r="E148" s="17" t="str"/>
      <x:c r="F148" s="17" t="str"/>
      <x:c r="G148" s="18"/>
      <x:c r="H148" s="18"/>
      <x:c r="I148" s="17" t="str"/>
      <x:c r="J148" s="17" t="str"/>
      <x:c r="K148" s="17" t="str"/>
      <x:c r="L148" s="16"/>
      <x:c r="M148" s="17" t="str"/>
      <x:c r="N148" s="17" t="str"/>
      <x:c r="O148" s="18" t="str">
        <x:f>IF(AND(G148="",H148=""),"",N(G148)-N(H148))</x:f>
      </x:c>
    </x:row>
    <x:row r="149">
      <x:c r="A149" s="16"/>
      <x:c r="B149" s="17" t="str"/>
      <x:c r="C149" s="17" t="str"/>
      <x:c r="D149" s="17" t="str"/>
      <x:c r="E149" s="17" t="str"/>
      <x:c r="F149" s="17" t="str"/>
      <x:c r="G149" s="18"/>
      <x:c r="H149" s="18"/>
      <x:c r="I149" s="17" t="str"/>
      <x:c r="J149" s="17" t="str"/>
      <x:c r="K149" s="17" t="str"/>
      <x:c r="L149" s="16"/>
      <x:c r="M149" s="17" t="str"/>
      <x:c r="N149" s="17" t="str"/>
      <x:c r="O149" s="18" t="str">
        <x:f>IF(AND(G149="",H149=""),"",N(G149)-N(H149))</x:f>
      </x:c>
    </x:row>
    <x:row r="150">
      <x:c r="A150" s="16"/>
      <x:c r="B150" s="17" t="str"/>
      <x:c r="C150" s="17" t="str"/>
      <x:c r="D150" s="17" t="str"/>
      <x:c r="E150" s="17" t="str"/>
      <x:c r="F150" s="17" t="str"/>
      <x:c r="G150" s="18"/>
      <x:c r="H150" s="18"/>
      <x:c r="I150" s="17" t="str"/>
      <x:c r="J150" s="17" t="str"/>
      <x:c r="K150" s="17" t="str"/>
      <x:c r="L150" s="16"/>
      <x:c r="M150" s="17" t="str"/>
      <x:c r="N150" s="17" t="str"/>
      <x:c r="O150" s="18" t="str">
        <x:f>IF(AND(G150="",H150=""),"",N(G150)-N(H150))</x:f>
      </x:c>
    </x:row>
    <x:row r="151">
      <x:c r="A151" s="16"/>
      <x:c r="B151" s="17" t="str"/>
      <x:c r="C151" s="17" t="str"/>
      <x:c r="D151" s="17" t="str"/>
      <x:c r="E151" s="17" t="str"/>
      <x:c r="F151" s="17" t="str"/>
      <x:c r="G151" s="18"/>
      <x:c r="H151" s="18"/>
      <x:c r="I151" s="17" t="str"/>
      <x:c r="J151" s="17" t="str"/>
      <x:c r="K151" s="17" t="str"/>
      <x:c r="L151" s="16"/>
      <x:c r="M151" s="17" t="str"/>
      <x:c r="N151" s="17" t="str"/>
      <x:c r="O151" s="18" t="str">
        <x:f>IF(AND(G151="",H151=""),"",N(G151)-N(H151))</x:f>
      </x:c>
    </x:row>
    <x:row r="152">
      <x:c r="A152" s="16"/>
      <x:c r="B152" s="17" t="str"/>
      <x:c r="C152" s="17" t="str"/>
      <x:c r="D152" s="17" t="str"/>
      <x:c r="E152" s="17" t="str"/>
      <x:c r="F152" s="17" t="str"/>
      <x:c r="G152" s="18"/>
      <x:c r="H152" s="18"/>
      <x:c r="I152" s="17" t="str"/>
      <x:c r="J152" s="17" t="str"/>
      <x:c r="K152" s="17" t="str"/>
      <x:c r="L152" s="16"/>
      <x:c r="M152" s="17" t="str"/>
      <x:c r="N152" s="17" t="str"/>
      <x:c r="O152" s="18" t="str">
        <x:f>IF(AND(G152="",H152=""),"",N(G152)-N(H152))</x:f>
      </x:c>
    </x:row>
    <x:row r="153">
      <x:c r="A153" s="16"/>
      <x:c r="B153" s="17" t="str"/>
      <x:c r="C153" s="17" t="str"/>
      <x:c r="D153" s="17" t="str"/>
      <x:c r="E153" s="17" t="str"/>
      <x:c r="F153" s="17" t="str"/>
      <x:c r="G153" s="18"/>
      <x:c r="H153" s="18"/>
      <x:c r="I153" s="17" t="str"/>
      <x:c r="J153" s="17" t="str"/>
      <x:c r="K153" s="17" t="str"/>
      <x:c r="L153" s="16"/>
      <x:c r="M153" s="17" t="str"/>
      <x:c r="N153" s="17" t="str"/>
      <x:c r="O153" s="18" t="str">
        <x:f>IF(AND(G153="",H153=""),"",N(G153)-N(H153))</x:f>
      </x:c>
    </x:row>
    <x:row r="154">
      <x:c r="A154" s="16"/>
      <x:c r="B154" s="17" t="str"/>
      <x:c r="C154" s="17" t="str"/>
      <x:c r="D154" s="17" t="str"/>
      <x:c r="E154" s="17" t="str"/>
      <x:c r="F154" s="17" t="str"/>
      <x:c r="G154" s="18"/>
      <x:c r="H154" s="18"/>
      <x:c r="I154" s="17" t="str"/>
      <x:c r="J154" s="17" t="str"/>
      <x:c r="K154" s="17" t="str"/>
      <x:c r="L154" s="16"/>
      <x:c r="M154" s="17" t="str"/>
      <x:c r="N154" s="17" t="str"/>
      <x:c r="O154" s="18" t="str">
        <x:f>IF(AND(G154="",H154=""),"",N(G154)-N(H154))</x:f>
      </x:c>
    </x:row>
    <x:row r="155">
      <x:c r="A155" s="16"/>
      <x:c r="B155" s="17" t="str"/>
      <x:c r="C155" s="17" t="str"/>
      <x:c r="D155" s="17" t="str"/>
      <x:c r="E155" s="17" t="str"/>
      <x:c r="F155" s="17" t="str"/>
      <x:c r="G155" s="18"/>
      <x:c r="H155" s="18"/>
      <x:c r="I155" s="17" t="str"/>
      <x:c r="J155" s="17" t="str"/>
      <x:c r="K155" s="17" t="str"/>
      <x:c r="L155" s="16"/>
      <x:c r="M155" s="17" t="str"/>
      <x:c r="N155" s="17" t="str"/>
      <x:c r="O155" s="18" t="str">
        <x:f>IF(AND(G155="",H155=""),"",N(G155)-N(H155))</x:f>
      </x:c>
    </x:row>
    <x:row r="156">
      <x:c r="A156" s="16"/>
      <x:c r="B156" s="17" t="str"/>
      <x:c r="C156" s="17" t="str"/>
      <x:c r="D156" s="17" t="str"/>
      <x:c r="E156" s="17" t="str"/>
      <x:c r="F156" s="17" t="str"/>
      <x:c r="G156" s="18"/>
      <x:c r="H156" s="18"/>
      <x:c r="I156" s="17" t="str"/>
      <x:c r="J156" s="17" t="str"/>
      <x:c r="K156" s="17" t="str"/>
      <x:c r="L156" s="16"/>
      <x:c r="M156" s="17" t="str"/>
      <x:c r="N156" s="17" t="str"/>
      <x:c r="O156" s="18" t="str">
        <x:f>IF(AND(G156="",H156=""),"",N(G156)-N(H156))</x:f>
      </x:c>
    </x:row>
    <x:row r="157">
      <x:c r="A157" s="16"/>
      <x:c r="B157" s="17" t="str"/>
      <x:c r="C157" s="17" t="str"/>
      <x:c r="D157" s="17" t="str"/>
      <x:c r="E157" s="17" t="str"/>
      <x:c r="F157" s="17" t="str"/>
      <x:c r="G157" s="18"/>
      <x:c r="H157" s="18"/>
      <x:c r="I157" s="17" t="str"/>
      <x:c r="J157" s="17" t="str"/>
      <x:c r="K157" s="17" t="str"/>
      <x:c r="L157" s="16"/>
      <x:c r="M157" s="17" t="str"/>
      <x:c r="N157" s="17" t="str"/>
      <x:c r="O157" s="18" t="str">
        <x:f>IF(AND(G157="",H157=""),"",N(G157)-N(H157))</x:f>
      </x:c>
    </x:row>
    <x:row r="158">
      <x:c r="A158" s="16"/>
      <x:c r="B158" s="17" t="str"/>
      <x:c r="C158" s="17" t="str"/>
      <x:c r="D158" s="17" t="str"/>
      <x:c r="E158" s="17" t="str"/>
      <x:c r="F158" s="17" t="str"/>
      <x:c r="G158" s="18"/>
      <x:c r="H158" s="18"/>
      <x:c r="I158" s="17" t="str"/>
      <x:c r="J158" s="17" t="str"/>
      <x:c r="K158" s="17" t="str"/>
      <x:c r="L158" s="16"/>
      <x:c r="M158" s="17" t="str"/>
      <x:c r="N158" s="17" t="str"/>
      <x:c r="O158" s="18" t="str">
        <x:f>IF(AND(G158="",H158=""),"",N(G158)-N(H158))</x:f>
      </x:c>
    </x:row>
    <x:row r="159">
      <x:c r="A159" s="16"/>
      <x:c r="B159" s="17" t="str"/>
      <x:c r="C159" s="17" t="str"/>
      <x:c r="D159" s="17" t="str"/>
      <x:c r="E159" s="17" t="str"/>
      <x:c r="F159" s="17" t="str"/>
      <x:c r="G159" s="18"/>
      <x:c r="H159" s="18"/>
      <x:c r="I159" s="17" t="str"/>
      <x:c r="J159" s="17" t="str"/>
      <x:c r="K159" s="17" t="str"/>
      <x:c r="L159" s="16"/>
      <x:c r="M159" s="17" t="str"/>
      <x:c r="N159" s="17" t="str"/>
      <x:c r="O159" s="18" t="str">
        <x:f>IF(AND(G159="",H159=""),"",N(G159)-N(H159))</x:f>
      </x:c>
    </x:row>
    <x:row r="160">
      <x:c r="A160" s="16"/>
      <x:c r="B160" s="17" t="str"/>
      <x:c r="C160" s="17" t="str"/>
      <x:c r="D160" s="17" t="str"/>
      <x:c r="E160" s="17" t="str"/>
      <x:c r="F160" s="17" t="str"/>
      <x:c r="G160" s="18"/>
      <x:c r="H160" s="18"/>
      <x:c r="I160" s="17" t="str"/>
      <x:c r="J160" s="17" t="str"/>
      <x:c r="K160" s="17" t="str"/>
      <x:c r="L160" s="16"/>
      <x:c r="M160" s="17" t="str"/>
      <x:c r="N160" s="17" t="str"/>
      <x:c r="O160" s="18" t="str">
        <x:f>IF(AND(G160="",H160=""),"",N(G160)-N(H160))</x:f>
      </x:c>
    </x:row>
    <x:row r="161">
      <x:c r="A161" s="16"/>
      <x:c r="B161" s="17" t="str"/>
      <x:c r="C161" s="17" t="str"/>
      <x:c r="D161" s="17" t="str"/>
      <x:c r="E161" s="17" t="str"/>
      <x:c r="F161" s="17" t="str"/>
      <x:c r="G161" s="18"/>
      <x:c r="H161" s="18"/>
      <x:c r="I161" s="17" t="str"/>
      <x:c r="J161" s="17" t="str"/>
      <x:c r="K161" s="17" t="str"/>
      <x:c r="L161" s="16"/>
      <x:c r="M161" s="17" t="str"/>
      <x:c r="N161" s="17" t="str"/>
      <x:c r="O161" s="18" t="str">
        <x:f>IF(AND(G161="",H161=""),"",N(G161)-N(H161))</x:f>
      </x:c>
    </x:row>
    <x:row r="162">
      <x:c r="A162" s="16"/>
      <x:c r="B162" s="17" t="str"/>
      <x:c r="C162" s="17" t="str"/>
      <x:c r="D162" s="17" t="str"/>
      <x:c r="E162" s="17" t="str"/>
      <x:c r="F162" s="17" t="str"/>
      <x:c r="G162" s="18"/>
      <x:c r="H162" s="18"/>
      <x:c r="I162" s="17" t="str"/>
      <x:c r="J162" s="17" t="str"/>
      <x:c r="K162" s="17" t="str"/>
      <x:c r="L162" s="16"/>
      <x:c r="M162" s="17" t="str"/>
      <x:c r="N162" s="17" t="str"/>
      <x:c r="O162" s="18" t="str">
        <x:f>IF(AND(G162="",H162=""),"",N(G162)-N(H162))</x:f>
      </x:c>
    </x:row>
    <x:row r="163">
      <x:c r="A163" s="16"/>
      <x:c r="B163" s="17" t="str"/>
      <x:c r="C163" s="17" t="str"/>
      <x:c r="D163" s="17" t="str"/>
      <x:c r="E163" s="17" t="str"/>
      <x:c r="F163" s="17" t="str"/>
      <x:c r="G163" s="18"/>
      <x:c r="H163" s="18"/>
      <x:c r="I163" s="17" t="str"/>
      <x:c r="J163" s="17" t="str"/>
      <x:c r="K163" s="17" t="str"/>
      <x:c r="L163" s="16"/>
      <x:c r="M163" s="17" t="str"/>
      <x:c r="N163" s="17" t="str"/>
      <x:c r="O163" s="18" t="str">
        <x:f>IF(AND(G163="",H163=""),"",N(G163)-N(H163))</x:f>
      </x:c>
    </x:row>
    <x:row r="164">
      <x:c r="A164" s="16"/>
      <x:c r="B164" s="17" t="str"/>
      <x:c r="C164" s="17" t="str"/>
      <x:c r="D164" s="17" t="str"/>
      <x:c r="E164" s="17" t="str"/>
      <x:c r="F164" s="17" t="str"/>
      <x:c r="G164" s="18"/>
      <x:c r="H164" s="18"/>
      <x:c r="I164" s="17" t="str"/>
      <x:c r="J164" s="17" t="str"/>
      <x:c r="K164" s="17" t="str"/>
      <x:c r="L164" s="16"/>
      <x:c r="M164" s="17" t="str"/>
      <x:c r="N164" s="17" t="str"/>
      <x:c r="O164" s="18" t="str">
        <x:f>IF(AND(G164="",H164=""),"",N(G164)-N(H164))</x:f>
      </x:c>
    </x:row>
    <x:row r="165">
      <x:c r="A165" s="16"/>
      <x:c r="B165" s="17" t="str"/>
      <x:c r="C165" s="17" t="str"/>
      <x:c r="D165" s="17" t="str"/>
      <x:c r="E165" s="17" t="str"/>
      <x:c r="F165" s="17" t="str"/>
      <x:c r="G165" s="18"/>
      <x:c r="H165" s="18"/>
      <x:c r="I165" s="17" t="str"/>
      <x:c r="J165" s="17" t="str"/>
      <x:c r="K165" s="17" t="str"/>
      <x:c r="L165" s="16"/>
      <x:c r="M165" s="17" t="str"/>
      <x:c r="N165" s="17" t="str"/>
      <x:c r="O165" s="18" t="str">
        <x:f>IF(AND(G165="",H165=""),"",N(G165)-N(H165))</x:f>
      </x:c>
    </x:row>
    <x:row r="166">
      <x:c r="A166" s="16"/>
      <x:c r="B166" s="17" t="str"/>
      <x:c r="C166" s="17" t="str"/>
      <x:c r="D166" s="17" t="str"/>
      <x:c r="E166" s="17" t="str"/>
      <x:c r="F166" s="17" t="str"/>
      <x:c r="G166" s="18"/>
      <x:c r="H166" s="18"/>
      <x:c r="I166" s="17" t="str"/>
      <x:c r="J166" s="17" t="str"/>
      <x:c r="K166" s="17" t="str"/>
      <x:c r="L166" s="16"/>
      <x:c r="M166" s="17" t="str"/>
      <x:c r="N166" s="17" t="str"/>
      <x:c r="O166" s="18" t="str">
        <x:f>IF(AND(G166="",H166=""),"",N(G166)-N(H166))</x:f>
      </x:c>
    </x:row>
    <x:row r="167">
      <x:c r="A167" s="16"/>
      <x:c r="B167" s="17" t="str"/>
      <x:c r="C167" s="17" t="str"/>
      <x:c r="D167" s="17" t="str"/>
      <x:c r="E167" s="17" t="str"/>
      <x:c r="F167" s="17" t="str"/>
      <x:c r="G167" s="18"/>
      <x:c r="H167" s="18"/>
      <x:c r="I167" s="17" t="str"/>
      <x:c r="J167" s="17" t="str"/>
      <x:c r="K167" s="17" t="str"/>
      <x:c r="L167" s="16"/>
      <x:c r="M167" s="17" t="str"/>
      <x:c r="N167" s="17" t="str"/>
      <x:c r="O167" s="18" t="str">
        <x:f>IF(AND(G167="",H167=""),"",N(G167)-N(H167))</x:f>
      </x:c>
    </x:row>
    <x:row r="168">
      <x:c r="A168" s="16"/>
      <x:c r="B168" s="17" t="str"/>
      <x:c r="C168" s="17" t="str"/>
      <x:c r="D168" s="17" t="str"/>
      <x:c r="E168" s="17" t="str"/>
      <x:c r="F168" s="17" t="str"/>
      <x:c r="G168" s="18"/>
      <x:c r="H168" s="18"/>
      <x:c r="I168" s="17" t="str"/>
      <x:c r="J168" s="17" t="str"/>
      <x:c r="K168" s="17" t="str"/>
      <x:c r="L168" s="16"/>
      <x:c r="M168" s="17" t="str"/>
      <x:c r="N168" s="17" t="str"/>
      <x:c r="O168" s="18" t="str">
        <x:f>IF(AND(G168="",H168=""),"",N(G168)-N(H168))</x:f>
      </x:c>
    </x:row>
    <x:row r="169">
      <x:c r="A169" s="16"/>
      <x:c r="B169" s="17" t="str"/>
      <x:c r="C169" s="17" t="str"/>
      <x:c r="D169" s="17" t="str"/>
      <x:c r="E169" s="17" t="str"/>
      <x:c r="F169" s="17" t="str"/>
      <x:c r="G169" s="18"/>
      <x:c r="H169" s="18"/>
      <x:c r="I169" s="17" t="str"/>
      <x:c r="J169" s="17" t="str"/>
      <x:c r="K169" s="17" t="str"/>
      <x:c r="L169" s="16"/>
      <x:c r="M169" s="17" t="str"/>
      <x:c r="N169" s="17" t="str"/>
      <x:c r="O169" s="18" t="str">
        <x:f>IF(AND(G169="",H169=""),"",N(G169)-N(H169))</x:f>
      </x:c>
    </x:row>
    <x:row r="170">
      <x:c r="A170" s="16"/>
      <x:c r="B170" s="17" t="str"/>
      <x:c r="C170" s="17" t="str"/>
      <x:c r="D170" s="17" t="str"/>
      <x:c r="E170" s="17" t="str"/>
      <x:c r="F170" s="17" t="str"/>
      <x:c r="G170" s="18"/>
      <x:c r="H170" s="18"/>
      <x:c r="I170" s="17" t="str"/>
      <x:c r="J170" s="17" t="str"/>
      <x:c r="K170" s="17" t="str"/>
      <x:c r="L170" s="16"/>
      <x:c r="M170" s="17" t="str"/>
      <x:c r="N170" s="17" t="str"/>
      <x:c r="O170" s="18" t="str">
        <x:f>IF(AND(G170="",H170=""),"",N(G170)-N(H170))</x:f>
      </x:c>
    </x:row>
    <x:row r="171">
      <x:c r="A171" s="16"/>
      <x:c r="B171" s="17" t="str"/>
      <x:c r="C171" s="17" t="str"/>
      <x:c r="D171" s="17" t="str"/>
      <x:c r="E171" s="17" t="str"/>
      <x:c r="F171" s="17" t="str"/>
      <x:c r="G171" s="18"/>
      <x:c r="H171" s="18"/>
      <x:c r="I171" s="17" t="str"/>
      <x:c r="J171" s="17" t="str"/>
      <x:c r="K171" s="17" t="str"/>
      <x:c r="L171" s="16"/>
      <x:c r="M171" s="17" t="str"/>
      <x:c r="N171" s="17" t="str"/>
      <x:c r="O171" s="18" t="str">
        <x:f>IF(AND(G171="",H171=""),"",N(G171)-N(H171))</x:f>
      </x:c>
    </x:row>
    <x:row r="172">
      <x:c r="A172" s="16"/>
      <x:c r="B172" s="17" t="str"/>
      <x:c r="C172" s="17" t="str"/>
      <x:c r="D172" s="17" t="str"/>
      <x:c r="E172" s="17" t="str"/>
      <x:c r="F172" s="17" t="str"/>
      <x:c r="G172" s="18"/>
      <x:c r="H172" s="18"/>
      <x:c r="I172" s="17" t="str"/>
      <x:c r="J172" s="17" t="str"/>
      <x:c r="K172" s="17" t="str"/>
      <x:c r="L172" s="16"/>
      <x:c r="M172" s="17" t="str"/>
      <x:c r="N172" s="17" t="str"/>
      <x:c r="O172" s="18" t="str">
        <x:f>IF(AND(G172="",H172=""),"",N(G172)-N(H172))</x:f>
      </x:c>
    </x:row>
    <x:row r="173">
      <x:c r="A173" s="16"/>
      <x:c r="B173" s="17" t="str"/>
      <x:c r="C173" s="17" t="str"/>
      <x:c r="D173" s="17" t="str"/>
      <x:c r="E173" s="17" t="str"/>
      <x:c r="F173" s="17" t="str"/>
      <x:c r="G173" s="18"/>
      <x:c r="H173" s="18"/>
      <x:c r="I173" s="17" t="str"/>
      <x:c r="J173" s="17" t="str"/>
      <x:c r="K173" s="17" t="str"/>
      <x:c r="L173" s="16"/>
      <x:c r="M173" s="17" t="str"/>
      <x:c r="N173" s="17" t="str"/>
      <x:c r="O173" s="18" t="str">
        <x:f>IF(AND(G173="",H173=""),"",N(G173)-N(H173))</x:f>
      </x:c>
    </x:row>
    <x:row r="174">
      <x:c r="A174" s="16"/>
      <x:c r="B174" s="17" t="str"/>
      <x:c r="C174" s="17" t="str"/>
      <x:c r="D174" s="17" t="str"/>
      <x:c r="E174" s="17" t="str"/>
      <x:c r="F174" s="17" t="str"/>
      <x:c r="G174" s="18"/>
      <x:c r="H174" s="18"/>
      <x:c r="I174" s="17" t="str"/>
      <x:c r="J174" s="17" t="str"/>
      <x:c r="K174" s="17" t="str"/>
      <x:c r="L174" s="16"/>
      <x:c r="M174" s="17" t="str"/>
      <x:c r="N174" s="17" t="str"/>
      <x:c r="O174" s="18" t="str">
        <x:f>IF(AND(G174="",H174=""),"",N(G174)-N(H174))</x:f>
      </x:c>
    </x:row>
    <x:row r="175">
      <x:c r="A175" s="16"/>
      <x:c r="B175" s="17" t="str"/>
      <x:c r="C175" s="17" t="str"/>
      <x:c r="D175" s="17" t="str"/>
      <x:c r="E175" s="17" t="str"/>
      <x:c r="F175" s="17" t="str"/>
      <x:c r="G175" s="18"/>
      <x:c r="H175" s="18"/>
      <x:c r="I175" s="17" t="str"/>
      <x:c r="J175" s="17" t="str"/>
      <x:c r="K175" s="17" t="str"/>
      <x:c r="L175" s="16"/>
      <x:c r="M175" s="17" t="str"/>
      <x:c r="N175" s="17" t="str"/>
      <x:c r="O175" s="18" t="str">
        <x:f>IF(AND(G175="",H175=""),"",N(G175)-N(H175))</x:f>
      </x:c>
    </x:row>
    <x:row r="176">
      <x:c r="A176" s="16"/>
      <x:c r="B176" s="17" t="str"/>
      <x:c r="C176" s="17" t="str"/>
      <x:c r="D176" s="17" t="str"/>
      <x:c r="E176" s="17" t="str"/>
      <x:c r="F176" s="17" t="str"/>
      <x:c r="G176" s="18"/>
      <x:c r="H176" s="18"/>
      <x:c r="I176" s="17" t="str"/>
      <x:c r="J176" s="17" t="str"/>
      <x:c r="K176" s="17" t="str"/>
      <x:c r="L176" s="16"/>
      <x:c r="M176" s="17" t="str"/>
      <x:c r="N176" s="17" t="str"/>
      <x:c r="O176" s="18" t="str">
        <x:f>IF(AND(G176="",H176=""),"",N(G176)-N(H176))</x:f>
      </x:c>
    </x:row>
    <x:row r="177">
      <x:c r="A177" s="16"/>
      <x:c r="B177" s="17" t="str"/>
      <x:c r="C177" s="17" t="str"/>
      <x:c r="D177" s="17" t="str"/>
      <x:c r="E177" s="17" t="str"/>
      <x:c r="F177" s="17" t="str"/>
      <x:c r="G177" s="18"/>
      <x:c r="H177" s="18"/>
      <x:c r="I177" s="17" t="str"/>
      <x:c r="J177" s="17" t="str"/>
      <x:c r="K177" s="17" t="str"/>
      <x:c r="L177" s="16"/>
      <x:c r="M177" s="17" t="str"/>
      <x:c r="N177" s="17" t="str"/>
      <x:c r="O177" s="18" t="str">
        <x:f>IF(AND(G177="",H177=""),"",N(G177)-N(H177))</x:f>
      </x:c>
    </x:row>
    <x:row r="178">
      <x:c r="A178" s="16"/>
      <x:c r="B178" s="17" t="str"/>
      <x:c r="C178" s="17" t="str"/>
      <x:c r="D178" s="17" t="str"/>
      <x:c r="E178" s="17" t="str"/>
      <x:c r="F178" s="17" t="str"/>
      <x:c r="G178" s="18"/>
      <x:c r="H178" s="18"/>
      <x:c r="I178" s="17" t="str"/>
      <x:c r="J178" s="17" t="str"/>
      <x:c r="K178" s="17" t="str"/>
      <x:c r="L178" s="16"/>
      <x:c r="M178" s="17" t="str"/>
      <x:c r="N178" s="17" t="str"/>
      <x:c r="O178" s="18" t="str">
        <x:f>IF(AND(G178="",H178=""),"",N(G178)-N(H178))</x:f>
      </x:c>
    </x:row>
    <x:row r="179">
      <x:c r="A179" s="16"/>
      <x:c r="B179" s="17" t="str"/>
      <x:c r="C179" s="17" t="str"/>
      <x:c r="D179" s="17" t="str"/>
      <x:c r="E179" s="17" t="str"/>
      <x:c r="F179" s="17" t="str"/>
      <x:c r="G179" s="18"/>
      <x:c r="H179" s="18"/>
      <x:c r="I179" s="17" t="str"/>
      <x:c r="J179" s="17" t="str"/>
      <x:c r="K179" s="17" t="str"/>
      <x:c r="L179" s="16"/>
      <x:c r="M179" s="17" t="str"/>
      <x:c r="N179" s="17" t="str"/>
      <x:c r="O179" s="18" t="str">
        <x:f>IF(AND(G179="",H179=""),"",N(G179)-N(H179))</x:f>
      </x:c>
    </x:row>
    <x:row r="180">
      <x:c r="A180" s="16"/>
      <x:c r="B180" s="17" t="str"/>
      <x:c r="C180" s="17" t="str"/>
      <x:c r="D180" s="17" t="str"/>
      <x:c r="E180" s="17" t="str"/>
      <x:c r="F180" s="17" t="str"/>
      <x:c r="G180" s="18"/>
      <x:c r="H180" s="18"/>
      <x:c r="I180" s="17" t="str"/>
      <x:c r="J180" s="17" t="str"/>
      <x:c r="K180" s="17" t="str"/>
      <x:c r="L180" s="16"/>
      <x:c r="M180" s="17" t="str"/>
      <x:c r="N180" s="17" t="str"/>
      <x:c r="O180" s="18" t="str">
        <x:f>IF(AND(G180="",H180=""),"",N(G180)-N(H180))</x:f>
      </x:c>
    </x:row>
    <x:row r="181">
      <x:c r="A181" s="16"/>
      <x:c r="B181" s="17" t="str"/>
      <x:c r="C181" s="17" t="str"/>
      <x:c r="D181" s="17" t="str"/>
      <x:c r="E181" s="17" t="str"/>
      <x:c r="F181" s="17" t="str"/>
      <x:c r="G181" s="18"/>
      <x:c r="H181" s="18"/>
      <x:c r="I181" s="17" t="str"/>
      <x:c r="J181" s="17" t="str"/>
      <x:c r="K181" s="17" t="str"/>
      <x:c r="L181" s="16"/>
      <x:c r="M181" s="17" t="str"/>
      <x:c r="N181" s="17" t="str"/>
      <x:c r="O181" s="18" t="str">
        <x:f>IF(AND(G181="",H181=""),"",N(G181)-N(H181))</x:f>
      </x:c>
    </x:row>
    <x:row r="182">
      <x:c r="A182" s="16"/>
      <x:c r="B182" s="17" t="str"/>
      <x:c r="C182" s="17" t="str"/>
      <x:c r="D182" s="17" t="str"/>
      <x:c r="E182" s="17" t="str"/>
      <x:c r="F182" s="17" t="str"/>
      <x:c r="G182" s="18"/>
      <x:c r="H182" s="18"/>
      <x:c r="I182" s="17" t="str"/>
      <x:c r="J182" s="17" t="str"/>
      <x:c r="K182" s="17" t="str"/>
      <x:c r="L182" s="16"/>
      <x:c r="M182" s="17" t="str"/>
      <x:c r="N182" s="17" t="str"/>
      <x:c r="O182" s="18" t="str">
        <x:f>IF(AND(G182="",H182=""),"",N(G182)-N(H182))</x:f>
      </x:c>
    </x:row>
    <x:row r="183">
      <x:c r="A183" s="16"/>
      <x:c r="B183" s="17" t="str"/>
      <x:c r="C183" s="17" t="str"/>
      <x:c r="D183" s="17" t="str"/>
      <x:c r="E183" s="17" t="str"/>
      <x:c r="F183" s="17" t="str"/>
      <x:c r="G183" s="18"/>
      <x:c r="H183" s="18"/>
      <x:c r="I183" s="17" t="str"/>
      <x:c r="J183" s="17" t="str"/>
      <x:c r="K183" s="17" t="str"/>
      <x:c r="L183" s="16"/>
      <x:c r="M183" s="17" t="str"/>
      <x:c r="N183" s="17" t="str"/>
      <x:c r="O183" s="18" t="str">
        <x:f>IF(AND(G183="",H183=""),"",N(G183)-N(H183))</x:f>
      </x:c>
    </x:row>
    <x:row r="184">
      <x:c r="A184" s="16"/>
      <x:c r="B184" s="17" t="str"/>
      <x:c r="C184" s="17" t="str"/>
      <x:c r="D184" s="17" t="str"/>
      <x:c r="E184" s="17" t="str"/>
      <x:c r="F184" s="17" t="str"/>
      <x:c r="G184" s="18"/>
      <x:c r="H184" s="18"/>
      <x:c r="I184" s="17" t="str"/>
      <x:c r="J184" s="17" t="str"/>
      <x:c r="K184" s="17" t="str"/>
      <x:c r="L184" s="16"/>
      <x:c r="M184" s="17" t="str"/>
      <x:c r="N184" s="17" t="str"/>
      <x:c r="O184" s="18" t="str">
        <x:f>IF(AND(G184="",H184=""),"",N(G184)-N(H184))</x:f>
      </x:c>
    </x:row>
    <x:row r="185">
      <x:c r="A185" s="16"/>
      <x:c r="B185" s="17" t="str"/>
      <x:c r="C185" s="17" t="str"/>
      <x:c r="D185" s="17" t="str"/>
      <x:c r="E185" s="17" t="str"/>
      <x:c r="F185" s="17" t="str"/>
      <x:c r="G185" s="18"/>
      <x:c r="H185" s="18"/>
      <x:c r="I185" s="17" t="str"/>
      <x:c r="J185" s="17" t="str"/>
      <x:c r="K185" s="17" t="str"/>
      <x:c r="L185" s="16"/>
      <x:c r="M185" s="17" t="str"/>
      <x:c r="N185" s="17" t="str"/>
      <x:c r="O185" s="18" t="str">
        <x:f>IF(AND(G185="",H185=""),"",N(G185)-N(H185))</x:f>
      </x:c>
    </x:row>
    <x:row r="186">
      <x:c r="A186" s="16"/>
      <x:c r="B186" s="17" t="str"/>
      <x:c r="C186" s="17" t="str"/>
      <x:c r="D186" s="17" t="str"/>
      <x:c r="E186" s="17" t="str"/>
      <x:c r="F186" s="17" t="str"/>
      <x:c r="G186" s="18"/>
      <x:c r="H186" s="18"/>
      <x:c r="I186" s="17" t="str"/>
      <x:c r="J186" s="17" t="str"/>
      <x:c r="K186" s="17" t="str"/>
      <x:c r="L186" s="16"/>
      <x:c r="M186" s="17" t="str"/>
      <x:c r="N186" s="17" t="str"/>
      <x:c r="O186" s="18" t="str">
        <x:f>IF(AND(G186="",H186=""),"",N(G186)-N(H186))</x:f>
      </x:c>
    </x:row>
    <x:row r="187">
      <x:c r="A187" s="16"/>
      <x:c r="B187" s="17" t="str"/>
      <x:c r="C187" s="17" t="str"/>
      <x:c r="D187" s="17" t="str"/>
      <x:c r="E187" s="17" t="str"/>
      <x:c r="F187" s="17" t="str"/>
      <x:c r="G187" s="18"/>
      <x:c r="H187" s="18"/>
      <x:c r="I187" s="17" t="str"/>
      <x:c r="J187" s="17" t="str"/>
      <x:c r="K187" s="17" t="str"/>
      <x:c r="L187" s="16"/>
      <x:c r="M187" s="17" t="str"/>
      <x:c r="N187" s="17" t="str"/>
      <x:c r="O187" s="18" t="str">
        <x:f>IF(AND(G187="",H187=""),"",N(G187)-N(H187))</x:f>
      </x:c>
    </x:row>
    <x:row r="188">
      <x:c r="A188" s="16"/>
      <x:c r="B188" s="17" t="str"/>
      <x:c r="C188" s="17" t="str"/>
      <x:c r="D188" s="17" t="str"/>
      <x:c r="E188" s="17" t="str"/>
      <x:c r="F188" s="17" t="str"/>
      <x:c r="G188" s="18"/>
      <x:c r="H188" s="18"/>
      <x:c r="I188" s="17" t="str"/>
      <x:c r="J188" s="17" t="str"/>
      <x:c r="K188" s="17" t="str"/>
      <x:c r="L188" s="16"/>
      <x:c r="M188" s="17" t="str"/>
      <x:c r="N188" s="17" t="str"/>
      <x:c r="O188" s="18" t="str">
        <x:f>IF(AND(G188="",H188=""),"",N(G188)-N(H188))</x:f>
      </x:c>
    </x:row>
    <x:row r="189">
      <x:c r="A189" s="16"/>
      <x:c r="B189" s="17" t="str"/>
      <x:c r="C189" s="17" t="str"/>
      <x:c r="D189" s="17" t="str"/>
      <x:c r="E189" s="17" t="str"/>
      <x:c r="F189" s="17" t="str"/>
      <x:c r="G189" s="18"/>
      <x:c r="H189" s="18"/>
      <x:c r="I189" s="17" t="str"/>
      <x:c r="J189" s="17" t="str"/>
      <x:c r="K189" s="17" t="str"/>
      <x:c r="L189" s="16"/>
      <x:c r="M189" s="17" t="str"/>
      <x:c r="N189" s="17" t="str"/>
      <x:c r="O189" s="18" t="str">
        <x:f>IF(AND(G189="",H189=""),"",N(G189)-N(H189))</x:f>
      </x:c>
    </x:row>
    <x:row r="190">
      <x:c r="A190" s="16"/>
      <x:c r="B190" s="17" t="str"/>
      <x:c r="C190" s="17" t="str"/>
      <x:c r="D190" s="17" t="str"/>
      <x:c r="E190" s="17" t="str"/>
      <x:c r="F190" s="17" t="str"/>
      <x:c r="G190" s="18"/>
      <x:c r="H190" s="18"/>
      <x:c r="I190" s="17" t="str"/>
      <x:c r="J190" s="17" t="str"/>
      <x:c r="K190" s="17" t="str"/>
      <x:c r="L190" s="16"/>
      <x:c r="M190" s="17" t="str"/>
      <x:c r="N190" s="17" t="str"/>
      <x:c r="O190" s="18" t="str">
        <x:f>IF(AND(G190="",H190=""),"",N(G190)-N(H190))</x:f>
      </x:c>
    </x:row>
    <x:row r="191">
      <x:c r="A191" s="16"/>
      <x:c r="B191" s="17" t="str"/>
      <x:c r="C191" s="17" t="str"/>
      <x:c r="D191" s="17" t="str"/>
      <x:c r="E191" s="17" t="str"/>
      <x:c r="F191" s="17" t="str"/>
      <x:c r="G191" s="18"/>
      <x:c r="H191" s="18"/>
      <x:c r="I191" s="17" t="str"/>
      <x:c r="J191" s="17" t="str"/>
      <x:c r="K191" s="17" t="str"/>
      <x:c r="L191" s="16"/>
      <x:c r="M191" s="17" t="str"/>
      <x:c r="N191" s="17" t="str"/>
      <x:c r="O191" s="18" t="str">
        <x:f>IF(AND(G191="",H191=""),"",N(G191)-N(H191))</x:f>
      </x:c>
    </x:row>
    <x:row r="192">
      <x:c r="A192" s="16"/>
      <x:c r="B192" s="17" t="str"/>
      <x:c r="C192" s="17" t="str"/>
      <x:c r="D192" s="17" t="str"/>
      <x:c r="E192" s="17" t="str"/>
      <x:c r="F192" s="17" t="str"/>
      <x:c r="G192" s="18"/>
      <x:c r="H192" s="18"/>
      <x:c r="I192" s="17" t="str"/>
      <x:c r="J192" s="17" t="str"/>
      <x:c r="K192" s="17" t="str"/>
      <x:c r="L192" s="16"/>
      <x:c r="M192" s="17" t="str"/>
      <x:c r="N192" s="17" t="str"/>
      <x:c r="O192" s="18" t="str">
        <x:f>IF(AND(G192="",H192=""),"",N(G192)-N(H192))</x:f>
      </x:c>
    </x:row>
    <x:row r="193">
      <x:c r="A193" s="16"/>
      <x:c r="B193" s="17" t="str"/>
      <x:c r="C193" s="17" t="str"/>
      <x:c r="D193" s="17" t="str"/>
      <x:c r="E193" s="17" t="str"/>
      <x:c r="F193" s="17" t="str"/>
      <x:c r="G193" s="18"/>
      <x:c r="H193" s="18"/>
      <x:c r="I193" s="17" t="str"/>
      <x:c r="J193" s="17" t="str"/>
      <x:c r="K193" s="17" t="str"/>
      <x:c r="L193" s="16"/>
      <x:c r="M193" s="17" t="str"/>
      <x:c r="N193" s="17" t="str"/>
      <x:c r="O193" s="18" t="str">
        <x:f>IF(AND(G193="",H193=""),"",N(G193)-N(H193))</x:f>
      </x:c>
    </x:row>
    <x:row r="194">
      <x:c r="A194" s="16"/>
      <x:c r="B194" s="17" t="str"/>
      <x:c r="C194" s="17" t="str"/>
      <x:c r="D194" s="17" t="str"/>
      <x:c r="E194" s="17" t="str"/>
      <x:c r="F194" s="17" t="str"/>
      <x:c r="G194" s="18"/>
      <x:c r="H194" s="18"/>
      <x:c r="I194" s="17" t="str"/>
      <x:c r="J194" s="17" t="str"/>
      <x:c r="K194" s="17" t="str"/>
      <x:c r="L194" s="16"/>
      <x:c r="M194" s="17" t="str"/>
      <x:c r="N194" s="17" t="str"/>
      <x:c r="O194" s="18" t="str">
        <x:f>IF(AND(G194="",H194=""),"",N(G194)-N(H194))</x:f>
      </x:c>
    </x:row>
    <x:row r="195">
      <x:c r="A195" s="16"/>
      <x:c r="B195" s="17" t="str"/>
      <x:c r="C195" s="17" t="str"/>
      <x:c r="D195" s="17" t="str"/>
      <x:c r="E195" s="17" t="str"/>
      <x:c r="F195" s="17" t="str"/>
      <x:c r="G195" s="18"/>
      <x:c r="H195" s="18"/>
      <x:c r="I195" s="17" t="str"/>
      <x:c r="J195" s="17" t="str"/>
      <x:c r="K195" s="17" t="str"/>
      <x:c r="L195" s="16"/>
      <x:c r="M195" s="17" t="str"/>
      <x:c r="N195" s="17" t="str"/>
      <x:c r="O195" s="18" t="str">
        <x:f>IF(AND(G195="",H195=""),"",N(G195)-N(H195))</x:f>
      </x:c>
    </x:row>
    <x:row r="196">
      <x:c r="A196" s="16"/>
      <x:c r="B196" s="17" t="str"/>
      <x:c r="C196" s="17" t="str"/>
      <x:c r="D196" s="17" t="str"/>
      <x:c r="E196" s="17" t="str"/>
      <x:c r="F196" s="17" t="str"/>
      <x:c r="G196" s="18"/>
      <x:c r="H196" s="18"/>
      <x:c r="I196" s="17" t="str"/>
      <x:c r="J196" s="17" t="str"/>
      <x:c r="K196" s="17" t="str"/>
      <x:c r="L196" s="16"/>
      <x:c r="M196" s="17" t="str"/>
      <x:c r="N196" s="17" t="str"/>
      <x:c r="O196" s="18" t="str">
        <x:f>IF(AND(G196="",H196=""),"",N(G196)-N(H196))</x:f>
      </x:c>
    </x:row>
    <x:row r="197">
      <x:c r="A197" s="16"/>
      <x:c r="B197" s="17" t="str"/>
      <x:c r="C197" s="17" t="str"/>
      <x:c r="D197" s="17" t="str"/>
      <x:c r="E197" s="17" t="str"/>
      <x:c r="F197" s="17" t="str"/>
      <x:c r="G197" s="18"/>
      <x:c r="H197" s="18"/>
      <x:c r="I197" s="17" t="str"/>
      <x:c r="J197" s="17" t="str"/>
      <x:c r="K197" s="17" t="str"/>
      <x:c r="L197" s="16"/>
      <x:c r="M197" s="17" t="str"/>
      <x:c r="N197" s="17" t="str"/>
      <x:c r="O197" s="18" t="str">
        <x:f>IF(AND(G197="",H197=""),"",N(G197)-N(H197))</x:f>
      </x:c>
    </x:row>
    <x:row r="198">
      <x:c r="A198" s="16"/>
      <x:c r="B198" s="17" t="str"/>
      <x:c r="C198" s="17" t="str"/>
      <x:c r="D198" s="17" t="str"/>
      <x:c r="E198" s="17" t="str"/>
      <x:c r="F198" s="17" t="str"/>
      <x:c r="G198" s="18"/>
      <x:c r="H198" s="18"/>
      <x:c r="I198" s="17" t="str"/>
      <x:c r="J198" s="17" t="str"/>
      <x:c r="K198" s="17" t="str"/>
      <x:c r="L198" s="16"/>
      <x:c r="M198" s="17" t="str"/>
      <x:c r="N198" s="17" t="str"/>
      <x:c r="O198" s="18" t="str">
        <x:f>IF(AND(G198="",H198=""),"",N(G198)-N(H198))</x:f>
      </x:c>
    </x:row>
    <x:row r="199">
      <x:c r="A199" s="16"/>
      <x:c r="B199" s="17" t="str"/>
      <x:c r="C199" s="17" t="str"/>
      <x:c r="D199" s="17" t="str"/>
      <x:c r="E199" s="17" t="str"/>
      <x:c r="F199" s="17" t="str"/>
      <x:c r="G199" s="18"/>
      <x:c r="H199" s="18"/>
      <x:c r="I199" s="17" t="str"/>
      <x:c r="J199" s="17" t="str"/>
      <x:c r="K199" s="17" t="str"/>
      <x:c r="L199" s="16"/>
      <x:c r="M199" s="17" t="str"/>
      <x:c r="N199" s="17" t="str"/>
      <x:c r="O199" s="18" t="str">
        <x:f>IF(AND(G199="",H199=""),"",N(G199)-N(H199))</x:f>
      </x:c>
    </x:row>
    <x:row r="200">
      <x:c r="A200" s="16"/>
      <x:c r="B200" s="17" t="str"/>
      <x:c r="C200" s="17" t="str"/>
      <x:c r="D200" s="17" t="str"/>
      <x:c r="E200" s="17" t="str"/>
      <x:c r="F200" s="17" t="str"/>
      <x:c r="G200" s="18"/>
      <x:c r="H200" s="18"/>
      <x:c r="I200" s="17" t="str"/>
      <x:c r="J200" s="17" t="str"/>
      <x:c r="K200" s="17" t="str"/>
      <x:c r="L200" s="16"/>
      <x:c r="M200" s="17" t="str"/>
      <x:c r="N200" s="17" t="str"/>
      <x:c r="O200" s="18" t="str">
        <x:f>IF(AND(G200="",H200=""),"",N(G200)-N(H200))</x:f>
      </x:c>
    </x:row>
    <x:row r="201">
      <x:c r="A201" s="16"/>
      <x:c r="B201" s="17" t="str"/>
      <x:c r="C201" s="17" t="str"/>
      <x:c r="D201" s="17" t="str"/>
      <x:c r="E201" s="17" t="str"/>
      <x:c r="F201" s="17" t="str"/>
      <x:c r="G201" s="18"/>
      <x:c r="H201" s="18"/>
      <x:c r="I201" s="17" t="str"/>
      <x:c r="J201" s="17" t="str"/>
      <x:c r="K201" s="17" t="str"/>
      <x:c r="L201" s="16"/>
      <x:c r="M201" s="17" t="str"/>
      <x:c r="N201" s="17" t="str"/>
      <x:c r="O201" s="18" t="str">
        <x:f>IF(AND(G201="",H201=""),"",N(G201)-N(H201))</x:f>
      </x:c>
    </x:row>
    <x:row r="202">
      <x:c r="A202" s="16"/>
      <x:c r="B202" s="17" t="str"/>
      <x:c r="C202" s="17" t="str"/>
      <x:c r="D202" s="17" t="str"/>
      <x:c r="E202" s="17" t="str"/>
      <x:c r="F202" s="17" t="str"/>
      <x:c r="G202" s="18"/>
      <x:c r="H202" s="18"/>
      <x:c r="I202" s="17" t="str"/>
      <x:c r="J202" s="17" t="str"/>
      <x:c r="K202" s="17" t="str"/>
      <x:c r="L202" s="16"/>
      <x:c r="M202" s="17" t="str"/>
      <x:c r="N202" s="17" t="str"/>
      <x:c r="O202" s="18" t="str">
        <x:f>IF(AND(G202="",H202=""),"",N(G202)-N(H202))</x:f>
      </x:c>
    </x:row>
    <x:row r="203">
      <x:c r="A203" s="16"/>
      <x:c r="B203" s="17" t="str"/>
      <x:c r="C203" s="17" t="str"/>
      <x:c r="D203" s="17" t="str"/>
      <x:c r="E203" s="17" t="str"/>
      <x:c r="F203" s="17" t="str"/>
      <x:c r="G203" s="18"/>
      <x:c r="H203" s="18"/>
      <x:c r="I203" s="17" t="str"/>
      <x:c r="J203" s="17" t="str"/>
      <x:c r="K203" s="17" t="str"/>
      <x:c r="L203" s="16"/>
      <x:c r="M203" s="17" t="str"/>
      <x:c r="N203" s="17" t="str"/>
      <x:c r="O203" s="18" t="str">
        <x:f>IF(AND(G203="",H203=""),"",N(G203)-N(H203))</x:f>
      </x:c>
    </x:row>
    <x:row r="204">
      <x:c r="A204" s="16"/>
      <x:c r="B204" s="17" t="str"/>
      <x:c r="C204" s="17" t="str"/>
      <x:c r="D204" s="17" t="str"/>
      <x:c r="E204" s="17" t="str"/>
      <x:c r="F204" s="17" t="str"/>
      <x:c r="G204" s="18"/>
      <x:c r="H204" s="18"/>
      <x:c r="I204" s="17" t="str"/>
      <x:c r="J204" s="17" t="str"/>
      <x:c r="K204" s="17" t="str"/>
      <x:c r="L204" s="16"/>
      <x:c r="M204" s="17" t="str"/>
      <x:c r="N204" s="17" t="str"/>
      <x:c r="O204" s="18" t="str">
        <x:f>IF(AND(G204="",H204=""),"",N(G204)-N(H204))</x:f>
      </x:c>
    </x:row>
    <x:row r="205">
      <x:c r="A205" s="16"/>
      <x:c r="B205" s="17" t="str"/>
      <x:c r="C205" s="17" t="str"/>
      <x:c r="D205" s="17" t="str"/>
      <x:c r="E205" s="17" t="str"/>
      <x:c r="F205" s="17" t="str"/>
      <x:c r="G205" s="18"/>
      <x:c r="H205" s="18"/>
      <x:c r="I205" s="17" t="str"/>
      <x:c r="J205" s="17" t="str"/>
      <x:c r="K205" s="17" t="str"/>
      <x:c r="L205" s="16"/>
      <x:c r="M205" s="17" t="str"/>
      <x:c r="N205" s="17" t="str"/>
      <x:c r="O205" s="18" t="str">
        <x:f>IF(AND(G205="",H205=""),"",N(G205)-N(H205))</x:f>
      </x:c>
    </x:row>
    <x:row r="206">
      <x:c r="A206" s="16"/>
      <x:c r="B206" s="17" t="str"/>
      <x:c r="C206" s="17" t="str"/>
      <x:c r="D206" s="17" t="str"/>
      <x:c r="E206" s="17" t="str"/>
      <x:c r="F206" s="17" t="str"/>
      <x:c r="G206" s="18"/>
      <x:c r="H206" s="18"/>
      <x:c r="I206" s="17" t="str"/>
      <x:c r="J206" s="17" t="str"/>
      <x:c r="K206" s="17" t="str"/>
      <x:c r="L206" s="16"/>
      <x:c r="M206" s="17" t="str"/>
      <x:c r="N206" s="17" t="str"/>
      <x:c r="O206" s="18" t="str">
        <x:f>IF(AND(G206="",H206=""),"",N(G206)-N(H206))</x:f>
      </x:c>
    </x:row>
    <x:row r="207">
      <x:c r="A207" s="16"/>
      <x:c r="B207" s="17" t="str"/>
      <x:c r="C207" s="17" t="str"/>
      <x:c r="D207" s="17" t="str"/>
      <x:c r="E207" s="17" t="str"/>
      <x:c r="F207" s="17" t="str"/>
      <x:c r="G207" s="18"/>
      <x:c r="H207" s="18"/>
      <x:c r="I207" s="17" t="str"/>
      <x:c r="J207" s="17" t="str"/>
      <x:c r="K207" s="17" t="str"/>
      <x:c r="L207" s="16"/>
      <x:c r="M207" s="17" t="str"/>
      <x:c r="N207" s="17" t="str"/>
      <x:c r="O207" s="18" t="str">
        <x:f>IF(AND(G207="",H207=""),"",N(G207)-N(H207))</x:f>
      </x:c>
    </x:row>
    <x:row r="208">
      <x:c r="A208" s="16"/>
      <x:c r="B208" s="17" t="str"/>
      <x:c r="C208" s="17" t="str"/>
      <x:c r="D208" s="17" t="str"/>
      <x:c r="E208" s="17" t="str"/>
      <x:c r="F208" s="17" t="str"/>
      <x:c r="G208" s="18"/>
      <x:c r="H208" s="18"/>
      <x:c r="I208" s="17" t="str"/>
      <x:c r="J208" s="17" t="str"/>
      <x:c r="K208" s="17" t="str"/>
      <x:c r="L208" s="16"/>
      <x:c r="M208" s="17" t="str"/>
      <x:c r="N208" s="17" t="str"/>
      <x:c r="O208" s="18" t="str">
        <x:f>IF(AND(G208="",H208=""),"",N(G208)-N(H208))</x:f>
      </x:c>
    </x:row>
    <x:row r="209">
      <x:c r="A209" s="16"/>
      <x:c r="B209" s="17" t="str"/>
      <x:c r="C209" s="17" t="str"/>
      <x:c r="D209" s="17" t="str"/>
      <x:c r="E209" s="17" t="str"/>
      <x:c r="F209" s="17" t="str"/>
      <x:c r="G209" s="18"/>
      <x:c r="H209" s="18"/>
      <x:c r="I209" s="17" t="str"/>
      <x:c r="J209" s="17" t="str"/>
      <x:c r="K209" s="17" t="str"/>
      <x:c r="L209" s="16"/>
      <x:c r="M209" s="17" t="str"/>
      <x:c r="N209" s="17" t="str"/>
      <x:c r="O209" s="18" t="str">
        <x:f>IF(AND(G209="",H209=""),"",N(G209)-N(H209))</x:f>
      </x:c>
    </x:row>
    <x:row r="210">
      <x:c r="A210" s="16"/>
      <x:c r="B210" s="17" t="str"/>
      <x:c r="C210" s="17" t="str"/>
      <x:c r="D210" s="17" t="str"/>
      <x:c r="E210" s="17" t="str"/>
      <x:c r="F210" s="17" t="str"/>
      <x:c r="G210" s="18"/>
      <x:c r="H210" s="18"/>
      <x:c r="I210" s="17" t="str"/>
      <x:c r="J210" s="17" t="str"/>
      <x:c r="K210" s="17" t="str"/>
      <x:c r="L210" s="16"/>
      <x:c r="M210" s="17" t="str"/>
      <x:c r="N210" s="17" t="str"/>
      <x:c r="O210" s="18" t="str">
        <x:f>IF(AND(G210="",H210=""),"",N(G210)-N(H210))</x:f>
      </x:c>
    </x:row>
    <x:row r="211">
      <x:c r="A211" s="16"/>
      <x:c r="B211" s="17" t="str"/>
      <x:c r="C211" s="17" t="str"/>
      <x:c r="D211" s="17" t="str"/>
      <x:c r="E211" s="17" t="str"/>
      <x:c r="F211" s="17" t="str"/>
      <x:c r="G211" s="18"/>
      <x:c r="H211" s="18"/>
      <x:c r="I211" s="17" t="str"/>
      <x:c r="J211" s="17" t="str"/>
      <x:c r="K211" s="17" t="str"/>
      <x:c r="L211" s="16"/>
      <x:c r="M211" s="17" t="str"/>
      <x:c r="N211" s="17" t="str"/>
      <x:c r="O211" s="18" t="str">
        <x:f>IF(AND(G211="",H211=""),"",N(G211)-N(H211))</x:f>
      </x:c>
    </x:row>
    <x:row r="212">
      <x:c r="A212" s="16"/>
      <x:c r="B212" s="17" t="str"/>
      <x:c r="C212" s="17" t="str"/>
      <x:c r="D212" s="17" t="str"/>
      <x:c r="E212" s="17" t="str"/>
      <x:c r="F212" s="17" t="str"/>
      <x:c r="G212" s="18"/>
      <x:c r="H212" s="18"/>
      <x:c r="I212" s="17" t="str"/>
      <x:c r="J212" s="17" t="str"/>
      <x:c r="K212" s="17" t="str"/>
      <x:c r="L212" s="16"/>
      <x:c r="M212" s="17" t="str"/>
      <x:c r="N212" s="17" t="str"/>
      <x:c r="O212" s="18" t="str">
        <x:f>IF(AND(G212="",H212=""),"",N(G212)-N(H212))</x:f>
      </x:c>
    </x:row>
    <x:row r="213">
      <x:c r="A213" s="16"/>
      <x:c r="B213" s="17" t="str"/>
      <x:c r="C213" s="17" t="str"/>
      <x:c r="D213" s="17" t="str"/>
      <x:c r="E213" s="17" t="str"/>
      <x:c r="F213" s="17" t="str"/>
      <x:c r="G213" s="18"/>
      <x:c r="H213" s="18"/>
      <x:c r="I213" s="17" t="str"/>
      <x:c r="J213" s="17" t="str"/>
      <x:c r="K213" s="17" t="str"/>
      <x:c r="L213" s="16"/>
      <x:c r="M213" s="17" t="str"/>
      <x:c r="N213" s="17" t="str"/>
      <x:c r="O213" s="18" t="str">
        <x:f>IF(AND(G213="",H213=""),"",N(G213)-N(H213))</x:f>
      </x:c>
    </x:row>
    <x:row r="214">
      <x:c r="A214" s="16"/>
      <x:c r="B214" s="17" t="str"/>
      <x:c r="C214" s="17" t="str"/>
      <x:c r="D214" s="17" t="str"/>
      <x:c r="E214" s="17" t="str"/>
      <x:c r="F214" s="17" t="str"/>
      <x:c r="G214" s="18"/>
      <x:c r="H214" s="18"/>
      <x:c r="I214" s="17" t="str"/>
      <x:c r="J214" s="17" t="str"/>
      <x:c r="K214" s="17" t="str"/>
      <x:c r="L214" s="16"/>
      <x:c r="M214" s="17" t="str"/>
      <x:c r="N214" s="17" t="str"/>
      <x:c r="O214" s="18" t="str">
        <x:f>IF(AND(G214="",H214=""),"",N(G214)-N(H214))</x:f>
      </x:c>
    </x:row>
    <x:row r="215">
      <x:c r="A215" s="16"/>
      <x:c r="B215" s="17" t="str"/>
      <x:c r="C215" s="17" t="str"/>
      <x:c r="D215" s="17" t="str"/>
      <x:c r="E215" s="17" t="str"/>
      <x:c r="F215" s="17" t="str"/>
      <x:c r="G215" s="18"/>
      <x:c r="H215" s="18"/>
      <x:c r="I215" s="17" t="str"/>
      <x:c r="J215" s="17" t="str"/>
      <x:c r="K215" s="17" t="str"/>
      <x:c r="L215" s="16"/>
      <x:c r="M215" s="17" t="str"/>
      <x:c r="N215" s="17" t="str"/>
      <x:c r="O215" s="18" t="str">
        <x:f>IF(AND(G215="",H215=""),"",N(G215)-N(H215))</x:f>
      </x:c>
    </x:row>
    <x:row r="216">
      <x:c r="A216" s="16"/>
      <x:c r="B216" s="17" t="str"/>
      <x:c r="C216" s="17" t="str"/>
      <x:c r="D216" s="17" t="str"/>
      <x:c r="E216" s="17" t="str"/>
      <x:c r="F216" s="17" t="str"/>
      <x:c r="G216" s="18"/>
      <x:c r="H216" s="18"/>
      <x:c r="I216" s="17" t="str"/>
      <x:c r="J216" s="17" t="str"/>
      <x:c r="K216" s="17" t="str"/>
      <x:c r="L216" s="16"/>
      <x:c r="M216" s="17" t="str"/>
      <x:c r="N216" s="17" t="str"/>
      <x:c r="O216" s="18" t="str">
        <x:f>IF(AND(G216="",H216=""),"",N(G216)-N(H216))</x:f>
      </x:c>
    </x:row>
    <x:row r="217">
      <x:c r="A217" s="16"/>
      <x:c r="B217" s="17" t="str"/>
      <x:c r="C217" s="17" t="str"/>
      <x:c r="D217" s="17" t="str"/>
      <x:c r="E217" s="17" t="str"/>
      <x:c r="F217" s="17" t="str"/>
      <x:c r="G217" s="18"/>
      <x:c r="H217" s="18"/>
      <x:c r="I217" s="17" t="str"/>
      <x:c r="J217" s="17" t="str"/>
      <x:c r="K217" s="17" t="str"/>
      <x:c r="L217" s="16"/>
      <x:c r="M217" s="17" t="str"/>
      <x:c r="N217" s="17" t="str"/>
      <x:c r="O217" s="18" t="str">
        <x:f>IF(AND(G217="",H217=""),"",N(G217)-N(H217))</x:f>
      </x:c>
    </x:row>
    <x:row r="218">
      <x:c r="A218" s="16"/>
      <x:c r="B218" s="17" t="str"/>
      <x:c r="C218" s="17" t="str"/>
      <x:c r="D218" s="17" t="str"/>
      <x:c r="E218" s="17" t="str"/>
      <x:c r="F218" s="17" t="str"/>
      <x:c r="G218" s="18"/>
      <x:c r="H218" s="18"/>
      <x:c r="I218" s="17" t="str"/>
      <x:c r="J218" s="17" t="str"/>
      <x:c r="K218" s="17" t="str"/>
      <x:c r="L218" s="16"/>
      <x:c r="M218" s="17" t="str"/>
      <x:c r="N218" s="17" t="str"/>
      <x:c r="O218" s="18" t="str">
        <x:f>IF(AND(G218="",H218=""),"",N(G218)-N(H218))</x:f>
      </x:c>
    </x:row>
    <x:row r="219">
      <x:c r="A219" s="16"/>
      <x:c r="B219" s="17" t="str"/>
      <x:c r="C219" s="17" t="str"/>
      <x:c r="D219" s="17" t="str"/>
      <x:c r="E219" s="17" t="str"/>
      <x:c r="F219" s="17" t="str"/>
      <x:c r="G219" s="18"/>
      <x:c r="H219" s="18"/>
      <x:c r="I219" s="17" t="str"/>
      <x:c r="J219" s="17" t="str"/>
      <x:c r="K219" s="17" t="str"/>
      <x:c r="L219" s="16"/>
      <x:c r="M219" s="17" t="str"/>
      <x:c r="N219" s="17" t="str"/>
      <x:c r="O219" s="18" t="str">
        <x:f>IF(AND(G219="",H219=""),"",N(G219)-N(H219))</x:f>
      </x:c>
    </x:row>
    <x:row r="220">
      <x:c r="A220" s="16"/>
      <x:c r="B220" s="17" t="str"/>
      <x:c r="C220" s="17" t="str"/>
      <x:c r="D220" s="17" t="str"/>
      <x:c r="E220" s="17" t="str"/>
      <x:c r="F220" s="17" t="str"/>
      <x:c r="G220" s="18"/>
      <x:c r="H220" s="18"/>
      <x:c r="I220" s="17" t="str"/>
      <x:c r="J220" s="17" t="str"/>
      <x:c r="K220" s="17" t="str"/>
      <x:c r="L220" s="16"/>
      <x:c r="M220" s="17" t="str"/>
      <x:c r="N220" s="17" t="str"/>
      <x:c r="O220" s="18" t="str">
        <x:f>IF(AND(G220="",H220=""),"",N(G220)-N(H220))</x:f>
      </x:c>
    </x:row>
    <x:row r="221">
      <x:c r="A221" s="16"/>
      <x:c r="B221" s="17" t="str"/>
      <x:c r="C221" s="17" t="str"/>
      <x:c r="D221" s="17" t="str"/>
      <x:c r="E221" s="17" t="str"/>
      <x:c r="F221" s="17" t="str"/>
      <x:c r="G221" s="18"/>
      <x:c r="H221" s="18"/>
      <x:c r="I221" s="17" t="str"/>
      <x:c r="J221" s="17" t="str"/>
      <x:c r="K221" s="17" t="str"/>
      <x:c r="L221" s="16"/>
      <x:c r="M221" s="17" t="str"/>
      <x:c r="N221" s="17" t="str"/>
      <x:c r="O221" s="18" t="str">
        <x:f>IF(AND(G221="",H221=""),"",N(G221)-N(H221))</x:f>
      </x:c>
    </x:row>
  </x:sheetData>
  <x:conditionalFormatting sqref="J2:J221">
    <x:cfRule type="expression" dxfId="0" priority="1">
      <x:formula>J2="未付款"</x:formula>
    </x:cfRule>
  </x:conditionalFormatting>
  <x:conditionalFormatting sqref="K2:K221">
    <x:cfRule type="expression" dxfId="1" priority="2">
      <x:formula>K2="待补"</x:formula>
    </x:cfRule>
  </x:conditionalFormatting>
  <x:dataValidations count="5">
    <x:dataValidation type="list" sqref="C2:C221">
      <x:formula1>6_字典与参考!$B$2:$B$12</x:formula1>
    </x:dataValidation>
    <x:dataValidation type="list" sqref="D2:D221">
      <x:formula1>6_字典与参考!$B$13:$B$18</x:formula1>
    </x:dataValidation>
    <x:dataValidation type="list" sqref="J2:J221">
      <x:formula1>6_字典与参考!$B$19:$B$21</x:formula1>
    </x:dataValidation>
    <x:dataValidation type="list" sqref="K2:K221">
      <x:formula1>6_字典与参考!$B$22:$B$24</x:formula1>
    </x:dataValidation>
    <x:dataValidation type="list" sqref="M2:M221">
      <x:formula1>"是,否,待确认"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1fef76d1ef45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2" hidden="0" customWidth="1"/>
    <x:col min="15" max="15" width="12" hidden="0" customWidth="1"/>
    <x:col min="16" max="16" width="10" hidden="0" customWidth="1"/>
    <x:col min="17" max="17" width="10" hidden="0" customWidth="1"/>
    <x:col min="18" max="18" width="24" hidden="0" customWidth="1"/>
  </x:cols>
  <x:sheetData>
    <x:row r="1" ht="28" customHeight="1">
      <x:c r="A1" s="10" t="str">
        <x:v>日期</x:v>
      </x:c>
      <x:c r="B1" s="10" t="str">
        <x:v>星期</x:v>
      </x:c>
      <x:c r="C1" s="10" t="str">
        <x:v>第几天</x:v>
      </x:c>
      <x:c r="D1" s="10" t="str">
        <x:v>客如云/收银收入</x:v>
      </x:c>
      <x:c r="E1" s="10" t="str">
        <x:v>外卖实收</x:v>
      </x:c>
      <x:c r="F1" s="10" t="str">
        <x:v>其他收入</x:v>
      </x:c>
      <x:c r="G1" s="10" t="str">
        <x:v>总收入</x:v>
      </x:c>
      <x:c r="H1" s="10" t="str">
        <x:v>进货成本</x:v>
      </x:c>
      <x:c r="I1" s="10" t="str">
        <x:v>人工</x:v>
      </x:c>
      <x:c r="J1" s="10" t="str">
        <x:v>房租</x:v>
      </x:c>
      <x:c r="K1" s="10" t="str">
        <x:v>水电</x:v>
      </x:c>
      <x:c r="L1" s="10" t="str">
        <x:v>营销</x:v>
      </x:c>
      <x:c r="M1" s="10" t="str">
        <x:v>其他费用</x:v>
      </x:c>
      <x:c r="N1" s="10" t="str">
        <x:v>总支出</x:v>
      </x:c>
      <x:c r="O1" s="10" t="str">
        <x:v>净现金流</x:v>
      </x:c>
      <x:c r="P1" s="10" t="str">
        <x:v>订单数</x:v>
      </x:c>
      <x:c r="Q1" s="10" t="str">
        <x:v>客单价</x:v>
      </x:c>
      <x:c r="R1" s="10" t="str">
        <x:v>备注</x:v>
      </x:c>
    </x:row>
    <x:row r="2">
      <x:c r="A2" s="16" t="n">
        <x:v>46204</x:v>
      </x:c>
      <x:c r="B2" s="17" t="str">
        <x:f>CHOOSE(WEEKDAY(A2,2),"一","二","三","四","五","六","日")</x:f>
        <x:v>三</x:v>
      </x:c>
      <x:c r="C2" s="17" t="n">
        <x:v>1</x:v>
      </x:c>
      <x:c r="D2" s="18" t="n">
        <x:f>SUMIFS('1_店铺账单明细'!$G:$G,'1_店铺账单明细'!$A:$A,$A2,'1_店铺账单明细'!$C:$C,"收入",'1_店铺账单明细'!$D:$D,"客如云/收银")</x:f>
        <x:v>0</x:v>
      </x:c>
      <x:c r="E2" s="18" t="n">
        <x:f>SUMIFS('1_店铺账单明细'!$G:$G,'1_店铺账单明细'!$A:$A,$A2,'1_店铺账单明细'!$C:$C,"收入",'1_店铺账单明细'!$D:$D,"美团")+SUMIFS('1_店铺账单明细'!$G:$G,'1_店铺账单明细'!$A:$A,$A2,'1_店铺账单明细'!$C:$C,"收入",'1_店铺账单明细'!$D:$D,"淘宝闪购")</x:f>
        <x:v>0</x:v>
      </x:c>
      <x:c r="F2" s="18" t="n">
        <x:f>SUMIFS('1_店铺账单明细'!$G:$G,'1_店铺账单明细'!$A:$A,$A2,'1_店铺账单明细'!$C:$C,"收入")-D2-E2</x:f>
        <x:v>0</x:v>
      </x:c>
      <x:c r="G2" s="18" t="n">
        <x:f>SUM(D2:F2)</x:f>
        <x:v>0</x:v>
      </x:c>
      <x:c r="H2" s="18" t="n">
        <x:f>SUMIFS('1_店铺账单明细'!$H:$H,'1_店铺账单明细'!$A:$A,$A2,'1_店铺账单明细'!$C:$C,"进货成本")</x:f>
        <x:v>0</x:v>
      </x:c>
      <x:c r="I2" s="18" t="n">
        <x:f>SUMIFS('1_店铺账单明细'!$H:$H,'1_店铺账单明细'!$A:$A,$A2,'1_店铺账单明细'!$C:$C,"人工")</x:f>
        <x:v>0</x:v>
      </x:c>
      <x:c r="J2" s="18" t="n">
        <x:f>SUMIFS('1_店铺账单明细'!$H:$H,'1_店铺账单明细'!$A:$A,$A2,'1_店铺账单明细'!$C:$C,"房租")</x:f>
        <x:v>0</x:v>
      </x:c>
      <x:c r="K2" s="18" t="n">
        <x:f>SUMIFS('1_店铺账单明细'!$H:$H,'1_店铺账单明细'!$A:$A,$A2,'1_店铺账单明细'!$C:$C,"水电")</x:f>
        <x:v>0</x:v>
      </x:c>
      <x:c r="L2" s="18" t="n">
        <x:f>SUMIFS('1_店铺账单明细'!$H:$H,'1_店铺账单明细'!$A:$A,$A2,'1_店铺账单明细'!$C:$C,"营销")</x:f>
        <x:v>0</x:v>
      </x:c>
      <x:c r="M2" s="18" t="n">
        <x:f>SUMIFS('1_店铺账单明细'!$H:$H,'1_店铺账单明细'!$A:$A,$A2)-SUM(H2:L2)</x:f>
        <x:v>0</x:v>
      </x:c>
      <x:c r="N2" s="18" t="n">
        <x:f>SUM(H2:M2)</x:f>
        <x:v>0</x:v>
      </x:c>
      <x:c r="O2" s="18" t="n">
        <x:f>G2-N2</x:f>
        <x:v>0</x:v>
      </x:c>
      <x:c r="P2" s="24"/>
      <x:c r="Q2" s="18" t="str">
        <x:f>IFERROR(G2/P2,"")</x:f>
      </x:c>
      <x:c r="R2" s="17" t="str"/>
    </x:row>
    <x:row r="3">
      <x:c r="A3" s="16" t="n">
        <x:v>46205</x:v>
      </x:c>
      <x:c r="B3" s="17" t="str">
        <x:f>CHOOSE(WEEKDAY(A3,2),"一","二","三","四","五","六","日")</x:f>
        <x:v>四</x:v>
      </x:c>
      <x:c r="C3" s="17" t="n">
        <x:v>2</x:v>
      </x:c>
      <x:c r="D3" s="18" t="n">
        <x:f>SUMIFS('1_店铺账单明细'!$G:$G,'1_店铺账单明细'!$A:$A,$A3,'1_店铺账单明细'!$C:$C,"收入",'1_店铺账单明细'!$D:$D,"客如云/收银")</x:f>
        <x:v>0</x:v>
      </x:c>
      <x:c r="E3" s="18" t="n">
        <x:f>SUMIFS('1_店铺账单明细'!$G:$G,'1_店铺账单明细'!$A:$A,$A3,'1_店铺账单明细'!$C:$C,"收入",'1_店铺账单明细'!$D:$D,"美团")+SUMIFS('1_店铺账单明细'!$G:$G,'1_店铺账单明细'!$A:$A,$A3,'1_店铺账单明细'!$C:$C,"收入",'1_店铺账单明细'!$D:$D,"淘宝闪购")</x:f>
        <x:v>0</x:v>
      </x:c>
      <x:c r="F3" s="18" t="n">
        <x:f>SUMIFS('1_店铺账单明细'!$G:$G,'1_店铺账单明细'!$A:$A,$A3,'1_店铺账单明细'!$C:$C,"收入")-D3-E3</x:f>
        <x:v>0</x:v>
      </x:c>
      <x:c r="G3" s="18" t="n">
        <x:f>SUM(D3:F3)</x:f>
        <x:v>0</x:v>
      </x:c>
      <x:c r="H3" s="18" t="n">
        <x:f>SUMIFS('1_店铺账单明细'!$H:$H,'1_店铺账单明细'!$A:$A,$A3,'1_店铺账单明细'!$C:$C,"进货成本")</x:f>
        <x:v>0</x:v>
      </x:c>
      <x:c r="I3" s="18" t="n">
        <x:f>SUMIFS('1_店铺账单明细'!$H:$H,'1_店铺账单明细'!$A:$A,$A3,'1_店铺账单明细'!$C:$C,"人工")</x:f>
        <x:v>0</x:v>
      </x:c>
      <x:c r="J3" s="18" t="n">
        <x:f>SUMIFS('1_店铺账单明细'!$H:$H,'1_店铺账单明细'!$A:$A,$A3,'1_店铺账单明细'!$C:$C,"房租")</x:f>
        <x:v>0</x:v>
      </x:c>
      <x:c r="K3" s="18" t="n">
        <x:f>SUMIFS('1_店铺账单明细'!$H:$H,'1_店铺账单明细'!$A:$A,$A3,'1_店铺账单明细'!$C:$C,"水电")</x:f>
        <x:v>0</x:v>
      </x:c>
      <x:c r="L3" s="18" t="n">
        <x:f>SUMIFS('1_店铺账单明细'!$H:$H,'1_店铺账单明细'!$A:$A,$A3,'1_店铺账单明细'!$C:$C,"营销")</x:f>
        <x:v>0</x:v>
      </x:c>
      <x:c r="M3" s="18" t="n">
        <x:f>SUMIFS('1_店铺账单明细'!$H:$H,'1_店铺账单明细'!$A:$A,$A3)-SUM(H3:L3)</x:f>
        <x:v>0</x:v>
      </x:c>
      <x:c r="N3" s="18" t="n">
        <x:f>SUM(H3:M3)</x:f>
        <x:v>0</x:v>
      </x:c>
      <x:c r="O3" s="18" t="n">
        <x:f>G3-N3</x:f>
        <x:v>0</x:v>
      </x:c>
      <x:c r="P3" s="24"/>
      <x:c r="Q3" s="18" t="str">
        <x:f>IFERROR(G3/P3,"")</x:f>
      </x:c>
      <x:c r="R3" s="17" t="str"/>
    </x:row>
    <x:row r="4">
      <x:c r="A4" s="16" t="n">
        <x:v>46206</x:v>
      </x:c>
      <x:c r="B4" s="17" t="str">
        <x:f>CHOOSE(WEEKDAY(A4,2),"一","二","三","四","五","六","日")</x:f>
        <x:v>五</x:v>
      </x:c>
      <x:c r="C4" s="17" t="n">
        <x:v>3</x:v>
      </x:c>
      <x:c r="D4" s="18" t="n">
        <x:f>SUMIFS('1_店铺账单明细'!$G:$G,'1_店铺账单明细'!$A:$A,$A4,'1_店铺账单明细'!$C:$C,"收入",'1_店铺账单明细'!$D:$D,"客如云/收银")</x:f>
        <x:v>0</x:v>
      </x:c>
      <x:c r="E4" s="18" t="n">
        <x:f>SUMIFS('1_店铺账单明细'!$G:$G,'1_店铺账单明细'!$A:$A,$A4,'1_店铺账单明细'!$C:$C,"收入",'1_店铺账单明细'!$D:$D,"美团")+SUMIFS('1_店铺账单明细'!$G:$G,'1_店铺账单明细'!$A:$A,$A4,'1_店铺账单明细'!$C:$C,"收入",'1_店铺账单明细'!$D:$D,"淘宝闪购")</x:f>
        <x:v>0</x:v>
      </x:c>
      <x:c r="F4" s="18" t="n">
        <x:f>SUMIFS('1_店铺账单明细'!$G:$G,'1_店铺账单明细'!$A:$A,$A4,'1_店铺账单明细'!$C:$C,"收入")-D4-E4</x:f>
        <x:v>0</x:v>
      </x:c>
      <x:c r="G4" s="18" t="n">
        <x:f>SUM(D4:F4)</x:f>
        <x:v>0</x:v>
      </x:c>
      <x:c r="H4" s="18" t="n">
        <x:f>SUMIFS('1_店铺账单明细'!$H:$H,'1_店铺账单明细'!$A:$A,$A4,'1_店铺账单明细'!$C:$C,"进货成本")</x:f>
        <x:v>0</x:v>
      </x:c>
      <x:c r="I4" s="18" t="n">
        <x:f>SUMIFS('1_店铺账单明细'!$H:$H,'1_店铺账单明细'!$A:$A,$A4,'1_店铺账单明细'!$C:$C,"人工")</x:f>
        <x:v>0</x:v>
      </x:c>
      <x:c r="J4" s="18" t="n">
        <x:f>SUMIFS('1_店铺账单明细'!$H:$H,'1_店铺账单明细'!$A:$A,$A4,'1_店铺账单明细'!$C:$C,"房租")</x:f>
        <x:v>0</x:v>
      </x:c>
      <x:c r="K4" s="18" t="n">
        <x:f>SUMIFS('1_店铺账单明细'!$H:$H,'1_店铺账单明细'!$A:$A,$A4,'1_店铺账单明细'!$C:$C,"水电")</x:f>
        <x:v>0</x:v>
      </x:c>
      <x:c r="L4" s="18" t="n">
        <x:f>SUMIFS('1_店铺账单明细'!$H:$H,'1_店铺账单明细'!$A:$A,$A4,'1_店铺账单明细'!$C:$C,"营销")</x:f>
        <x:v>0</x:v>
      </x:c>
      <x:c r="M4" s="18" t="n">
        <x:f>SUMIFS('1_店铺账单明细'!$H:$H,'1_店铺账单明细'!$A:$A,$A4)-SUM(H4:L4)</x:f>
        <x:v>0</x:v>
      </x:c>
      <x:c r="N4" s="18" t="n">
        <x:f>SUM(H4:M4)</x:f>
        <x:v>0</x:v>
      </x:c>
      <x:c r="O4" s="18" t="n">
        <x:f>G4-N4</x:f>
        <x:v>0</x:v>
      </x:c>
      <x:c r="P4" s="24"/>
      <x:c r="Q4" s="18" t="str">
        <x:f>IFERROR(G4/P4,"")</x:f>
      </x:c>
      <x:c r="R4" s="17" t="str"/>
    </x:row>
    <x:row r="5">
      <x:c r="A5" s="16" t="n">
        <x:v>46207</x:v>
      </x:c>
      <x:c r="B5" s="17" t="str">
        <x:f>CHOOSE(WEEKDAY(A5,2),"一","二","三","四","五","六","日")</x:f>
        <x:v>六</x:v>
      </x:c>
      <x:c r="C5" s="17" t="n">
        <x:v>4</x:v>
      </x:c>
      <x:c r="D5" s="18" t="n">
        <x:f>SUMIFS('1_店铺账单明细'!$G:$G,'1_店铺账单明细'!$A:$A,$A5,'1_店铺账单明细'!$C:$C,"收入",'1_店铺账单明细'!$D:$D,"客如云/收银")</x:f>
        <x:v>0</x:v>
      </x:c>
      <x:c r="E5" s="18" t="n">
        <x:f>SUMIFS('1_店铺账单明细'!$G:$G,'1_店铺账单明细'!$A:$A,$A5,'1_店铺账单明细'!$C:$C,"收入",'1_店铺账单明细'!$D:$D,"美团")+SUMIFS('1_店铺账单明细'!$G:$G,'1_店铺账单明细'!$A:$A,$A5,'1_店铺账单明细'!$C:$C,"收入",'1_店铺账单明细'!$D:$D,"淘宝闪购")</x:f>
        <x:v>0</x:v>
      </x:c>
      <x:c r="F5" s="18" t="n">
        <x:f>SUMIFS('1_店铺账单明细'!$G:$G,'1_店铺账单明细'!$A:$A,$A5,'1_店铺账单明细'!$C:$C,"收入")-D5-E5</x:f>
        <x:v>0</x:v>
      </x:c>
      <x:c r="G5" s="18" t="n">
        <x:f>SUM(D5:F5)</x:f>
        <x:v>0</x:v>
      </x:c>
      <x:c r="H5" s="18" t="n">
        <x:f>SUMIFS('1_店铺账单明细'!$H:$H,'1_店铺账单明细'!$A:$A,$A5,'1_店铺账单明细'!$C:$C,"进货成本")</x:f>
        <x:v>0</x:v>
      </x:c>
      <x:c r="I5" s="18" t="n">
        <x:f>SUMIFS('1_店铺账单明细'!$H:$H,'1_店铺账单明细'!$A:$A,$A5,'1_店铺账单明细'!$C:$C,"人工")</x:f>
        <x:v>0</x:v>
      </x:c>
      <x:c r="J5" s="18" t="n">
        <x:f>SUMIFS('1_店铺账单明细'!$H:$H,'1_店铺账单明细'!$A:$A,$A5,'1_店铺账单明细'!$C:$C,"房租")</x:f>
        <x:v>0</x:v>
      </x:c>
      <x:c r="K5" s="18" t="n">
        <x:f>SUMIFS('1_店铺账单明细'!$H:$H,'1_店铺账单明细'!$A:$A,$A5,'1_店铺账单明细'!$C:$C,"水电")</x:f>
        <x:v>0</x:v>
      </x:c>
      <x:c r="L5" s="18" t="n">
        <x:f>SUMIFS('1_店铺账单明细'!$H:$H,'1_店铺账单明细'!$A:$A,$A5,'1_店铺账单明细'!$C:$C,"营销")</x:f>
        <x:v>0</x:v>
      </x:c>
      <x:c r="M5" s="18" t="n">
        <x:f>SUMIFS('1_店铺账单明细'!$H:$H,'1_店铺账单明细'!$A:$A,$A5)-SUM(H5:L5)</x:f>
        <x:v>0</x:v>
      </x:c>
      <x:c r="N5" s="18" t="n">
        <x:f>SUM(H5:M5)</x:f>
        <x:v>0</x:v>
      </x:c>
      <x:c r="O5" s="18" t="n">
        <x:f>G5-N5</x:f>
        <x:v>0</x:v>
      </x:c>
      <x:c r="P5" s="24"/>
      <x:c r="Q5" s="18" t="str">
        <x:f>IFERROR(G5/P5,"")</x:f>
      </x:c>
      <x:c r="R5" s="17" t="str"/>
    </x:row>
    <x:row r="6">
      <x:c r="A6" s="16" t="n">
        <x:v>46208</x:v>
      </x:c>
      <x:c r="B6" s="17" t="str">
        <x:f>CHOOSE(WEEKDAY(A6,2),"一","二","三","四","五","六","日")</x:f>
        <x:v>日</x:v>
      </x:c>
      <x:c r="C6" s="17" t="n">
        <x:v>5</x:v>
      </x:c>
      <x:c r="D6" s="18" t="n">
        <x:f>SUMIFS('1_店铺账单明细'!$G:$G,'1_店铺账单明细'!$A:$A,$A6,'1_店铺账单明细'!$C:$C,"收入",'1_店铺账单明细'!$D:$D,"客如云/收银")</x:f>
        <x:v>0</x:v>
      </x:c>
      <x:c r="E6" s="18" t="n">
        <x:f>SUMIFS('1_店铺账单明细'!$G:$G,'1_店铺账单明细'!$A:$A,$A6,'1_店铺账单明细'!$C:$C,"收入",'1_店铺账单明细'!$D:$D,"美团")+SUMIFS('1_店铺账单明细'!$G:$G,'1_店铺账单明细'!$A:$A,$A6,'1_店铺账单明细'!$C:$C,"收入",'1_店铺账单明细'!$D:$D,"淘宝闪购")</x:f>
        <x:v>0</x:v>
      </x:c>
      <x:c r="F6" s="18" t="n">
        <x:f>SUMIFS('1_店铺账单明细'!$G:$G,'1_店铺账单明细'!$A:$A,$A6,'1_店铺账单明细'!$C:$C,"收入")-D6-E6</x:f>
        <x:v>0</x:v>
      </x:c>
      <x:c r="G6" s="18" t="n">
        <x:f>SUM(D6:F6)</x:f>
        <x:v>0</x:v>
      </x:c>
      <x:c r="H6" s="18" t="n">
        <x:f>SUMIFS('1_店铺账单明细'!$H:$H,'1_店铺账单明细'!$A:$A,$A6,'1_店铺账单明细'!$C:$C,"进货成本")</x:f>
        <x:v>0</x:v>
      </x:c>
      <x:c r="I6" s="18" t="n">
        <x:f>SUMIFS('1_店铺账单明细'!$H:$H,'1_店铺账单明细'!$A:$A,$A6,'1_店铺账单明细'!$C:$C,"人工")</x:f>
        <x:v>0</x:v>
      </x:c>
      <x:c r="J6" s="18" t="n">
        <x:f>SUMIFS('1_店铺账单明细'!$H:$H,'1_店铺账单明细'!$A:$A,$A6,'1_店铺账单明细'!$C:$C,"房租")</x:f>
        <x:v>0</x:v>
      </x:c>
      <x:c r="K6" s="18" t="n">
        <x:f>SUMIFS('1_店铺账单明细'!$H:$H,'1_店铺账单明细'!$A:$A,$A6,'1_店铺账单明细'!$C:$C,"水电")</x:f>
        <x:v>0</x:v>
      </x:c>
      <x:c r="L6" s="18" t="n">
        <x:f>SUMIFS('1_店铺账单明细'!$H:$H,'1_店铺账单明细'!$A:$A,$A6,'1_店铺账单明细'!$C:$C,"营销")</x:f>
        <x:v>0</x:v>
      </x:c>
      <x:c r="M6" s="18" t="n">
        <x:f>SUMIFS('1_店铺账单明细'!$H:$H,'1_店铺账单明细'!$A:$A,$A6)-SUM(H6:L6)</x:f>
        <x:v>0</x:v>
      </x:c>
      <x:c r="N6" s="18" t="n">
        <x:f>SUM(H6:M6)</x:f>
        <x:v>0</x:v>
      </x:c>
      <x:c r="O6" s="18" t="n">
        <x:f>G6-N6</x:f>
        <x:v>0</x:v>
      </x:c>
      <x:c r="P6" s="24"/>
      <x:c r="Q6" s="18" t="str">
        <x:f>IFERROR(G6/P6,"")</x:f>
      </x:c>
      <x:c r="R6" s="17" t="str"/>
    </x:row>
    <x:row r="7">
      <x:c r="A7" s="16" t="n">
        <x:v>46209</x:v>
      </x:c>
      <x:c r="B7" s="17" t="str">
        <x:f>CHOOSE(WEEKDAY(A7,2),"一","二","三","四","五","六","日")</x:f>
        <x:v>一</x:v>
      </x:c>
      <x:c r="C7" s="17" t="n">
        <x:v>6</x:v>
      </x:c>
      <x:c r="D7" s="18" t="n">
        <x:f>SUMIFS('1_店铺账单明细'!$G:$G,'1_店铺账单明细'!$A:$A,$A7,'1_店铺账单明细'!$C:$C,"收入",'1_店铺账单明细'!$D:$D,"客如云/收银")</x:f>
        <x:v>0</x:v>
      </x:c>
      <x:c r="E7" s="18" t="n">
        <x:f>SUMIFS('1_店铺账单明细'!$G:$G,'1_店铺账单明细'!$A:$A,$A7,'1_店铺账单明细'!$C:$C,"收入",'1_店铺账单明细'!$D:$D,"美团")+SUMIFS('1_店铺账单明细'!$G:$G,'1_店铺账单明细'!$A:$A,$A7,'1_店铺账单明细'!$C:$C,"收入",'1_店铺账单明细'!$D:$D,"淘宝闪购")</x:f>
        <x:v>0</x:v>
      </x:c>
      <x:c r="F7" s="18" t="n">
        <x:f>SUMIFS('1_店铺账单明细'!$G:$G,'1_店铺账单明细'!$A:$A,$A7,'1_店铺账单明细'!$C:$C,"收入")-D7-E7</x:f>
        <x:v>0</x:v>
      </x:c>
      <x:c r="G7" s="18" t="n">
        <x:f>SUM(D7:F7)</x:f>
        <x:v>0</x:v>
      </x:c>
      <x:c r="H7" s="18" t="n">
        <x:f>SUMIFS('1_店铺账单明细'!$H:$H,'1_店铺账单明细'!$A:$A,$A7,'1_店铺账单明细'!$C:$C,"进货成本")</x:f>
        <x:v>0</x:v>
      </x:c>
      <x:c r="I7" s="18" t="n">
        <x:f>SUMIFS('1_店铺账单明细'!$H:$H,'1_店铺账单明细'!$A:$A,$A7,'1_店铺账单明细'!$C:$C,"人工")</x:f>
        <x:v>0</x:v>
      </x:c>
      <x:c r="J7" s="18" t="n">
        <x:f>SUMIFS('1_店铺账单明细'!$H:$H,'1_店铺账单明细'!$A:$A,$A7,'1_店铺账单明细'!$C:$C,"房租")</x:f>
        <x:v>0</x:v>
      </x:c>
      <x:c r="K7" s="18" t="n">
        <x:f>SUMIFS('1_店铺账单明细'!$H:$H,'1_店铺账单明细'!$A:$A,$A7,'1_店铺账单明细'!$C:$C,"水电")</x:f>
        <x:v>0</x:v>
      </x:c>
      <x:c r="L7" s="18" t="n">
        <x:f>SUMIFS('1_店铺账单明细'!$H:$H,'1_店铺账单明细'!$A:$A,$A7,'1_店铺账单明细'!$C:$C,"营销")</x:f>
        <x:v>0</x:v>
      </x:c>
      <x:c r="M7" s="18" t="n">
        <x:f>SUMIFS('1_店铺账单明细'!$H:$H,'1_店铺账单明细'!$A:$A,$A7)-SUM(H7:L7)</x:f>
        <x:v>0</x:v>
      </x:c>
      <x:c r="N7" s="18" t="n">
        <x:f>SUM(H7:M7)</x:f>
        <x:v>0</x:v>
      </x:c>
      <x:c r="O7" s="18" t="n">
        <x:f>G7-N7</x:f>
        <x:v>0</x:v>
      </x:c>
      <x:c r="P7" s="24"/>
      <x:c r="Q7" s="18" t="str">
        <x:f>IFERROR(G7/P7,"")</x:f>
      </x:c>
      <x:c r="R7" s="17" t="str"/>
    </x:row>
    <x:row r="8">
      <x:c r="A8" s="16" t="n">
        <x:v>46210</x:v>
      </x:c>
      <x:c r="B8" s="17" t="str">
        <x:f>CHOOSE(WEEKDAY(A8,2),"一","二","三","四","五","六","日")</x:f>
        <x:v>二</x:v>
      </x:c>
      <x:c r="C8" s="17" t="n">
        <x:v>7</x:v>
      </x:c>
      <x:c r="D8" s="18" t="n">
        <x:f>SUMIFS('1_店铺账单明细'!$G:$G,'1_店铺账单明细'!$A:$A,$A8,'1_店铺账单明细'!$C:$C,"收入",'1_店铺账单明细'!$D:$D,"客如云/收银")</x:f>
        <x:v>0</x:v>
      </x:c>
      <x:c r="E8" s="18" t="n">
        <x:f>SUMIFS('1_店铺账单明细'!$G:$G,'1_店铺账单明细'!$A:$A,$A8,'1_店铺账单明细'!$C:$C,"收入",'1_店铺账单明细'!$D:$D,"美团")+SUMIFS('1_店铺账单明细'!$G:$G,'1_店铺账单明细'!$A:$A,$A8,'1_店铺账单明细'!$C:$C,"收入",'1_店铺账单明细'!$D:$D,"淘宝闪购")</x:f>
        <x:v>0</x:v>
      </x:c>
      <x:c r="F8" s="18" t="n">
        <x:f>SUMIFS('1_店铺账单明细'!$G:$G,'1_店铺账单明细'!$A:$A,$A8,'1_店铺账单明细'!$C:$C,"收入")-D8-E8</x:f>
        <x:v>0</x:v>
      </x:c>
      <x:c r="G8" s="18" t="n">
        <x:f>SUM(D8:F8)</x:f>
        <x:v>0</x:v>
      </x:c>
      <x:c r="H8" s="18" t="n">
        <x:f>SUMIFS('1_店铺账单明细'!$H:$H,'1_店铺账单明细'!$A:$A,$A8,'1_店铺账单明细'!$C:$C,"进货成本")</x:f>
        <x:v>0</x:v>
      </x:c>
      <x:c r="I8" s="18" t="n">
        <x:f>SUMIFS('1_店铺账单明细'!$H:$H,'1_店铺账单明细'!$A:$A,$A8,'1_店铺账单明细'!$C:$C,"人工")</x:f>
        <x:v>0</x:v>
      </x:c>
      <x:c r="J8" s="18" t="n">
        <x:f>SUMIFS('1_店铺账单明细'!$H:$H,'1_店铺账单明细'!$A:$A,$A8,'1_店铺账单明细'!$C:$C,"房租")</x:f>
        <x:v>0</x:v>
      </x:c>
      <x:c r="K8" s="18" t="n">
        <x:f>SUMIFS('1_店铺账单明细'!$H:$H,'1_店铺账单明细'!$A:$A,$A8,'1_店铺账单明细'!$C:$C,"水电")</x:f>
        <x:v>0</x:v>
      </x:c>
      <x:c r="L8" s="18" t="n">
        <x:f>SUMIFS('1_店铺账单明细'!$H:$H,'1_店铺账单明细'!$A:$A,$A8,'1_店铺账单明细'!$C:$C,"营销")</x:f>
        <x:v>0</x:v>
      </x:c>
      <x:c r="M8" s="18" t="n">
        <x:f>SUMIFS('1_店铺账单明细'!$H:$H,'1_店铺账单明细'!$A:$A,$A8)-SUM(H8:L8)</x:f>
        <x:v>0</x:v>
      </x:c>
      <x:c r="N8" s="18" t="n">
        <x:f>SUM(H8:M8)</x:f>
        <x:v>0</x:v>
      </x:c>
      <x:c r="O8" s="18" t="n">
        <x:f>G8-N8</x:f>
        <x:v>0</x:v>
      </x:c>
      <x:c r="P8" s="24"/>
      <x:c r="Q8" s="18" t="str">
        <x:f>IFERROR(G8/P8,"")</x:f>
      </x:c>
      <x:c r="R8" s="17" t="str"/>
    </x:row>
    <x:row r="9">
      <x:c r="A9" s="16" t="n">
        <x:v>46211</x:v>
      </x:c>
      <x:c r="B9" s="17" t="str">
        <x:f>CHOOSE(WEEKDAY(A9,2),"一","二","三","四","五","六","日")</x:f>
        <x:v>三</x:v>
      </x:c>
      <x:c r="C9" s="17" t="n">
        <x:v>8</x:v>
      </x:c>
      <x:c r="D9" s="18" t="n">
        <x:f>SUMIFS('1_店铺账单明细'!$G:$G,'1_店铺账单明细'!$A:$A,$A9,'1_店铺账单明细'!$C:$C,"收入",'1_店铺账单明细'!$D:$D,"客如云/收银")</x:f>
        <x:v>0</x:v>
      </x:c>
      <x:c r="E9" s="18" t="n">
        <x:f>SUMIFS('1_店铺账单明细'!$G:$G,'1_店铺账单明细'!$A:$A,$A9,'1_店铺账单明细'!$C:$C,"收入",'1_店铺账单明细'!$D:$D,"美团")+SUMIFS('1_店铺账单明细'!$G:$G,'1_店铺账单明细'!$A:$A,$A9,'1_店铺账单明细'!$C:$C,"收入",'1_店铺账单明细'!$D:$D,"淘宝闪购")</x:f>
        <x:v>0</x:v>
      </x:c>
      <x:c r="F9" s="18" t="n">
        <x:f>SUMIFS('1_店铺账单明细'!$G:$G,'1_店铺账单明细'!$A:$A,$A9,'1_店铺账单明细'!$C:$C,"收入")-D9-E9</x:f>
        <x:v>0</x:v>
      </x:c>
      <x:c r="G9" s="18" t="n">
        <x:f>SUM(D9:F9)</x:f>
        <x:v>0</x:v>
      </x:c>
      <x:c r="H9" s="18" t="n">
        <x:f>SUMIFS('1_店铺账单明细'!$H:$H,'1_店铺账单明细'!$A:$A,$A9,'1_店铺账单明细'!$C:$C,"进货成本")</x:f>
        <x:v>0</x:v>
      </x:c>
      <x:c r="I9" s="18" t="n">
        <x:f>SUMIFS('1_店铺账单明细'!$H:$H,'1_店铺账单明细'!$A:$A,$A9,'1_店铺账单明细'!$C:$C,"人工")</x:f>
        <x:v>0</x:v>
      </x:c>
      <x:c r="J9" s="18" t="n">
        <x:f>SUMIFS('1_店铺账单明细'!$H:$H,'1_店铺账单明细'!$A:$A,$A9,'1_店铺账单明细'!$C:$C,"房租")</x:f>
        <x:v>0</x:v>
      </x:c>
      <x:c r="K9" s="18" t="n">
        <x:f>SUMIFS('1_店铺账单明细'!$H:$H,'1_店铺账单明细'!$A:$A,$A9,'1_店铺账单明细'!$C:$C,"水电")</x:f>
        <x:v>0</x:v>
      </x:c>
      <x:c r="L9" s="18" t="n">
        <x:f>SUMIFS('1_店铺账单明细'!$H:$H,'1_店铺账单明细'!$A:$A,$A9,'1_店铺账单明细'!$C:$C,"营销")</x:f>
        <x:v>0</x:v>
      </x:c>
      <x:c r="M9" s="18" t="n">
        <x:f>SUMIFS('1_店铺账单明细'!$H:$H,'1_店铺账单明细'!$A:$A,$A9)-SUM(H9:L9)</x:f>
        <x:v>0</x:v>
      </x:c>
      <x:c r="N9" s="18" t="n">
        <x:f>SUM(H9:M9)</x:f>
        <x:v>0</x:v>
      </x:c>
      <x:c r="O9" s="18" t="n">
        <x:f>G9-N9</x:f>
        <x:v>0</x:v>
      </x:c>
      <x:c r="P9" s="24"/>
      <x:c r="Q9" s="18" t="str">
        <x:f>IFERROR(G9/P9,"")</x:f>
      </x:c>
      <x:c r="R9" s="17" t="str"/>
    </x:row>
    <x:row r="10">
      <x:c r="A10" s="16" t="n">
        <x:v>46212</x:v>
      </x:c>
      <x:c r="B10" s="17" t="str">
        <x:f>CHOOSE(WEEKDAY(A10,2),"一","二","三","四","五","六","日")</x:f>
        <x:v>四</x:v>
      </x:c>
      <x:c r="C10" s="17" t="n">
        <x:v>9</x:v>
      </x:c>
      <x:c r="D10" s="18" t="n">
        <x:f>SUMIFS('1_店铺账单明细'!$G:$G,'1_店铺账单明细'!$A:$A,$A10,'1_店铺账单明细'!$C:$C,"收入",'1_店铺账单明细'!$D:$D,"客如云/收银")</x:f>
        <x:v>0</x:v>
      </x:c>
      <x:c r="E10" s="18" t="n">
        <x:f>SUMIFS('1_店铺账单明细'!$G:$G,'1_店铺账单明细'!$A:$A,$A10,'1_店铺账单明细'!$C:$C,"收入",'1_店铺账单明细'!$D:$D,"美团")+SUMIFS('1_店铺账单明细'!$G:$G,'1_店铺账单明细'!$A:$A,$A10,'1_店铺账单明细'!$C:$C,"收入",'1_店铺账单明细'!$D:$D,"淘宝闪购")</x:f>
        <x:v>0</x:v>
      </x:c>
      <x:c r="F10" s="18" t="n">
        <x:f>SUMIFS('1_店铺账单明细'!$G:$G,'1_店铺账单明细'!$A:$A,$A10,'1_店铺账单明细'!$C:$C,"收入")-D10-E10</x:f>
        <x:v>0</x:v>
      </x:c>
      <x:c r="G10" s="18" t="n">
        <x:f>SUM(D10:F10)</x:f>
        <x:v>0</x:v>
      </x:c>
      <x:c r="H10" s="18" t="n">
        <x:f>SUMIFS('1_店铺账单明细'!$H:$H,'1_店铺账单明细'!$A:$A,$A10,'1_店铺账单明细'!$C:$C,"进货成本")</x:f>
        <x:v>0</x:v>
      </x:c>
      <x:c r="I10" s="18" t="n">
        <x:f>SUMIFS('1_店铺账单明细'!$H:$H,'1_店铺账单明细'!$A:$A,$A10,'1_店铺账单明细'!$C:$C,"人工")</x:f>
        <x:v>0</x:v>
      </x:c>
      <x:c r="J10" s="18" t="n">
        <x:f>SUMIFS('1_店铺账单明细'!$H:$H,'1_店铺账单明细'!$A:$A,$A10,'1_店铺账单明细'!$C:$C,"房租")</x:f>
        <x:v>0</x:v>
      </x:c>
      <x:c r="K10" s="18" t="n">
        <x:f>SUMIFS('1_店铺账单明细'!$H:$H,'1_店铺账单明细'!$A:$A,$A10,'1_店铺账单明细'!$C:$C,"水电")</x:f>
        <x:v>0</x:v>
      </x:c>
      <x:c r="L10" s="18" t="n">
        <x:f>SUMIFS('1_店铺账单明细'!$H:$H,'1_店铺账单明细'!$A:$A,$A10,'1_店铺账单明细'!$C:$C,"营销")</x:f>
        <x:v>0</x:v>
      </x:c>
      <x:c r="M10" s="18" t="n">
        <x:f>SUMIFS('1_店铺账单明细'!$H:$H,'1_店铺账单明细'!$A:$A,$A10)-SUM(H10:L10)</x:f>
        <x:v>0</x:v>
      </x:c>
      <x:c r="N10" s="18" t="n">
        <x:f>SUM(H10:M10)</x:f>
        <x:v>0</x:v>
      </x:c>
      <x:c r="O10" s="18" t="n">
        <x:f>G10-N10</x:f>
        <x:v>0</x:v>
      </x:c>
      <x:c r="P10" s="24"/>
      <x:c r="Q10" s="18" t="str">
        <x:f>IFERROR(G10/P10,"")</x:f>
      </x:c>
      <x:c r="R10" s="17" t="str"/>
    </x:row>
    <x:row r="11">
      <x:c r="A11" s="16" t="n">
        <x:v>46213</x:v>
      </x:c>
      <x:c r="B11" s="17" t="str">
        <x:f>CHOOSE(WEEKDAY(A11,2),"一","二","三","四","五","六","日")</x:f>
        <x:v>五</x:v>
      </x:c>
      <x:c r="C11" s="17" t="n">
        <x:v>10</x:v>
      </x:c>
      <x:c r="D11" s="18" t="n">
        <x:f>SUMIFS('1_店铺账单明细'!$G:$G,'1_店铺账单明细'!$A:$A,$A11,'1_店铺账单明细'!$C:$C,"收入",'1_店铺账单明细'!$D:$D,"客如云/收银")</x:f>
        <x:v>0</x:v>
      </x:c>
      <x:c r="E11" s="18" t="n">
        <x:f>SUMIFS('1_店铺账单明细'!$G:$G,'1_店铺账单明细'!$A:$A,$A11,'1_店铺账单明细'!$C:$C,"收入",'1_店铺账单明细'!$D:$D,"美团")+SUMIFS('1_店铺账单明细'!$G:$G,'1_店铺账单明细'!$A:$A,$A11,'1_店铺账单明细'!$C:$C,"收入",'1_店铺账单明细'!$D:$D,"淘宝闪购")</x:f>
        <x:v>0</x:v>
      </x:c>
      <x:c r="F11" s="18" t="n">
        <x:f>SUMIFS('1_店铺账单明细'!$G:$G,'1_店铺账单明细'!$A:$A,$A11,'1_店铺账单明细'!$C:$C,"收入")-D11-E11</x:f>
        <x:v>0</x:v>
      </x:c>
      <x:c r="G11" s="18" t="n">
        <x:f>SUM(D11:F11)</x:f>
        <x:v>0</x:v>
      </x:c>
      <x:c r="H11" s="18" t="n">
        <x:f>SUMIFS('1_店铺账单明细'!$H:$H,'1_店铺账单明细'!$A:$A,$A11,'1_店铺账单明细'!$C:$C,"进货成本")</x:f>
        <x:v>0</x:v>
      </x:c>
      <x:c r="I11" s="18" t="n">
        <x:f>SUMIFS('1_店铺账单明细'!$H:$H,'1_店铺账单明细'!$A:$A,$A11,'1_店铺账单明细'!$C:$C,"人工")</x:f>
        <x:v>0</x:v>
      </x:c>
      <x:c r="J11" s="18" t="n">
        <x:f>SUMIFS('1_店铺账单明细'!$H:$H,'1_店铺账单明细'!$A:$A,$A11,'1_店铺账单明细'!$C:$C,"房租")</x:f>
        <x:v>0</x:v>
      </x:c>
      <x:c r="K11" s="18" t="n">
        <x:f>SUMIFS('1_店铺账单明细'!$H:$H,'1_店铺账单明细'!$A:$A,$A11,'1_店铺账单明细'!$C:$C,"水电")</x:f>
        <x:v>0</x:v>
      </x:c>
      <x:c r="L11" s="18" t="n">
        <x:f>SUMIFS('1_店铺账单明细'!$H:$H,'1_店铺账单明细'!$A:$A,$A11,'1_店铺账单明细'!$C:$C,"营销")</x:f>
        <x:v>0</x:v>
      </x:c>
      <x:c r="M11" s="18" t="n">
        <x:f>SUMIFS('1_店铺账单明细'!$H:$H,'1_店铺账单明细'!$A:$A,$A11)-SUM(H11:L11)</x:f>
        <x:v>0</x:v>
      </x:c>
      <x:c r="N11" s="18" t="n">
        <x:f>SUM(H11:M11)</x:f>
        <x:v>0</x:v>
      </x:c>
      <x:c r="O11" s="18" t="n">
        <x:f>G11-N11</x:f>
        <x:v>0</x:v>
      </x:c>
      <x:c r="P11" s="24"/>
      <x:c r="Q11" s="18" t="str">
        <x:f>IFERROR(G11/P11,"")</x:f>
      </x:c>
      <x:c r="R11" s="17" t="str"/>
    </x:row>
    <x:row r="12">
      <x:c r="A12" s="16" t="n">
        <x:v>46214</x:v>
      </x:c>
      <x:c r="B12" s="17" t="str">
        <x:f>CHOOSE(WEEKDAY(A12,2),"一","二","三","四","五","六","日")</x:f>
        <x:v>六</x:v>
      </x:c>
      <x:c r="C12" s="17" t="n">
        <x:v>11</x:v>
      </x:c>
      <x:c r="D12" s="18" t="n">
        <x:f>SUMIFS('1_店铺账单明细'!$G:$G,'1_店铺账单明细'!$A:$A,$A12,'1_店铺账单明细'!$C:$C,"收入",'1_店铺账单明细'!$D:$D,"客如云/收银")</x:f>
        <x:v>0</x:v>
      </x:c>
      <x:c r="E12" s="18" t="n">
        <x:f>SUMIFS('1_店铺账单明细'!$G:$G,'1_店铺账单明细'!$A:$A,$A12,'1_店铺账单明细'!$C:$C,"收入",'1_店铺账单明细'!$D:$D,"美团")+SUMIFS('1_店铺账单明细'!$G:$G,'1_店铺账单明细'!$A:$A,$A12,'1_店铺账单明细'!$C:$C,"收入",'1_店铺账单明细'!$D:$D,"淘宝闪购")</x:f>
        <x:v>0</x:v>
      </x:c>
      <x:c r="F12" s="18" t="n">
        <x:f>SUMIFS('1_店铺账单明细'!$G:$G,'1_店铺账单明细'!$A:$A,$A12,'1_店铺账单明细'!$C:$C,"收入")-D12-E12</x:f>
        <x:v>0</x:v>
      </x:c>
      <x:c r="G12" s="18" t="n">
        <x:f>SUM(D12:F12)</x:f>
        <x:v>0</x:v>
      </x:c>
      <x:c r="H12" s="18" t="n">
        <x:f>SUMIFS('1_店铺账单明细'!$H:$H,'1_店铺账单明细'!$A:$A,$A12,'1_店铺账单明细'!$C:$C,"进货成本")</x:f>
        <x:v>0</x:v>
      </x:c>
      <x:c r="I12" s="18" t="n">
        <x:f>SUMIFS('1_店铺账单明细'!$H:$H,'1_店铺账单明细'!$A:$A,$A12,'1_店铺账单明细'!$C:$C,"人工")</x:f>
        <x:v>0</x:v>
      </x:c>
      <x:c r="J12" s="18" t="n">
        <x:f>SUMIFS('1_店铺账单明细'!$H:$H,'1_店铺账单明细'!$A:$A,$A12,'1_店铺账单明细'!$C:$C,"房租")</x:f>
        <x:v>0</x:v>
      </x:c>
      <x:c r="K12" s="18" t="n">
        <x:f>SUMIFS('1_店铺账单明细'!$H:$H,'1_店铺账单明细'!$A:$A,$A12,'1_店铺账单明细'!$C:$C,"水电")</x:f>
        <x:v>0</x:v>
      </x:c>
      <x:c r="L12" s="18" t="n">
        <x:f>SUMIFS('1_店铺账单明细'!$H:$H,'1_店铺账单明细'!$A:$A,$A12,'1_店铺账单明细'!$C:$C,"营销")</x:f>
        <x:v>0</x:v>
      </x:c>
      <x:c r="M12" s="18" t="n">
        <x:f>SUMIFS('1_店铺账单明细'!$H:$H,'1_店铺账单明细'!$A:$A,$A12)-SUM(H12:L12)</x:f>
        <x:v>0</x:v>
      </x:c>
      <x:c r="N12" s="18" t="n">
        <x:f>SUM(H12:M12)</x:f>
        <x:v>0</x:v>
      </x:c>
      <x:c r="O12" s="18" t="n">
        <x:f>G12-N12</x:f>
        <x:v>0</x:v>
      </x:c>
      <x:c r="P12" s="24"/>
      <x:c r="Q12" s="18" t="str">
        <x:f>IFERROR(G12/P12,"")</x:f>
      </x:c>
      <x:c r="R12" s="17" t="str"/>
    </x:row>
    <x:row r="13">
      <x:c r="A13" s="16" t="n">
        <x:v>46215</x:v>
      </x:c>
      <x:c r="B13" s="17" t="str">
        <x:f>CHOOSE(WEEKDAY(A13,2),"一","二","三","四","五","六","日")</x:f>
        <x:v>日</x:v>
      </x:c>
      <x:c r="C13" s="17" t="n">
        <x:v>12</x:v>
      </x:c>
      <x:c r="D13" s="18" t="n">
        <x:f>SUMIFS('1_店铺账单明细'!$G:$G,'1_店铺账单明细'!$A:$A,$A13,'1_店铺账单明细'!$C:$C,"收入",'1_店铺账单明细'!$D:$D,"客如云/收银")</x:f>
        <x:v>0</x:v>
      </x:c>
      <x:c r="E13" s="18" t="n">
        <x:f>SUMIFS('1_店铺账单明细'!$G:$G,'1_店铺账单明细'!$A:$A,$A13,'1_店铺账单明细'!$C:$C,"收入",'1_店铺账单明细'!$D:$D,"美团")+SUMIFS('1_店铺账单明细'!$G:$G,'1_店铺账单明细'!$A:$A,$A13,'1_店铺账单明细'!$C:$C,"收入",'1_店铺账单明细'!$D:$D,"淘宝闪购")</x:f>
        <x:v>0</x:v>
      </x:c>
      <x:c r="F13" s="18" t="n">
        <x:f>SUMIFS('1_店铺账单明细'!$G:$G,'1_店铺账单明细'!$A:$A,$A13,'1_店铺账单明细'!$C:$C,"收入")-D13-E13</x:f>
        <x:v>0</x:v>
      </x:c>
      <x:c r="G13" s="18" t="n">
        <x:f>SUM(D13:F13)</x:f>
        <x:v>0</x:v>
      </x:c>
      <x:c r="H13" s="18" t="n">
        <x:f>SUMIFS('1_店铺账单明细'!$H:$H,'1_店铺账单明细'!$A:$A,$A13,'1_店铺账单明细'!$C:$C,"进货成本")</x:f>
        <x:v>0</x:v>
      </x:c>
      <x:c r="I13" s="18" t="n">
        <x:f>SUMIFS('1_店铺账单明细'!$H:$H,'1_店铺账单明细'!$A:$A,$A13,'1_店铺账单明细'!$C:$C,"人工")</x:f>
        <x:v>0</x:v>
      </x:c>
      <x:c r="J13" s="18" t="n">
        <x:f>SUMIFS('1_店铺账单明细'!$H:$H,'1_店铺账单明细'!$A:$A,$A13,'1_店铺账单明细'!$C:$C,"房租")</x:f>
        <x:v>0</x:v>
      </x:c>
      <x:c r="K13" s="18" t="n">
        <x:f>SUMIFS('1_店铺账单明细'!$H:$H,'1_店铺账单明细'!$A:$A,$A13,'1_店铺账单明细'!$C:$C,"水电")</x:f>
        <x:v>0</x:v>
      </x:c>
      <x:c r="L13" s="18" t="n">
        <x:f>SUMIFS('1_店铺账单明细'!$H:$H,'1_店铺账单明细'!$A:$A,$A13,'1_店铺账单明细'!$C:$C,"营销")</x:f>
        <x:v>0</x:v>
      </x:c>
      <x:c r="M13" s="18" t="n">
        <x:f>SUMIFS('1_店铺账单明细'!$H:$H,'1_店铺账单明细'!$A:$A,$A13)-SUM(H13:L13)</x:f>
        <x:v>0</x:v>
      </x:c>
      <x:c r="N13" s="18" t="n">
        <x:f>SUM(H13:M13)</x:f>
        <x:v>0</x:v>
      </x:c>
      <x:c r="O13" s="18" t="n">
        <x:f>G13-N13</x:f>
        <x:v>0</x:v>
      </x:c>
      <x:c r="P13" s="24"/>
      <x:c r="Q13" s="18" t="str">
        <x:f>IFERROR(G13/P13,"")</x:f>
      </x:c>
      <x:c r="R13" s="17" t="str"/>
    </x:row>
    <x:row r="14">
      <x:c r="A14" s="16" t="n">
        <x:v>46216</x:v>
      </x:c>
      <x:c r="B14" s="17" t="str">
        <x:f>CHOOSE(WEEKDAY(A14,2),"一","二","三","四","五","六","日")</x:f>
        <x:v>一</x:v>
      </x:c>
      <x:c r="C14" s="17" t="n">
        <x:v>13</x:v>
      </x:c>
      <x:c r="D14" s="18" t="n">
        <x:f>SUMIFS('1_店铺账单明细'!$G:$G,'1_店铺账单明细'!$A:$A,$A14,'1_店铺账单明细'!$C:$C,"收入",'1_店铺账单明细'!$D:$D,"客如云/收银")</x:f>
        <x:v>0</x:v>
      </x:c>
      <x:c r="E14" s="18" t="n">
        <x:f>SUMIFS('1_店铺账单明细'!$G:$G,'1_店铺账单明细'!$A:$A,$A14,'1_店铺账单明细'!$C:$C,"收入",'1_店铺账单明细'!$D:$D,"美团")+SUMIFS('1_店铺账单明细'!$G:$G,'1_店铺账单明细'!$A:$A,$A14,'1_店铺账单明细'!$C:$C,"收入",'1_店铺账单明细'!$D:$D,"淘宝闪购")</x:f>
        <x:v>0</x:v>
      </x:c>
      <x:c r="F14" s="18" t="n">
        <x:f>SUMIFS('1_店铺账单明细'!$G:$G,'1_店铺账单明细'!$A:$A,$A14,'1_店铺账单明细'!$C:$C,"收入")-D14-E14</x:f>
        <x:v>0</x:v>
      </x:c>
      <x:c r="G14" s="18" t="n">
        <x:f>SUM(D14:F14)</x:f>
        <x:v>0</x:v>
      </x:c>
      <x:c r="H14" s="18" t="n">
        <x:f>SUMIFS('1_店铺账单明细'!$H:$H,'1_店铺账单明细'!$A:$A,$A14,'1_店铺账单明细'!$C:$C,"进货成本")</x:f>
        <x:v>0</x:v>
      </x:c>
      <x:c r="I14" s="18" t="n">
        <x:f>SUMIFS('1_店铺账单明细'!$H:$H,'1_店铺账单明细'!$A:$A,$A14,'1_店铺账单明细'!$C:$C,"人工")</x:f>
        <x:v>0</x:v>
      </x:c>
      <x:c r="J14" s="18" t="n">
        <x:f>SUMIFS('1_店铺账单明细'!$H:$H,'1_店铺账单明细'!$A:$A,$A14,'1_店铺账单明细'!$C:$C,"房租")</x:f>
        <x:v>0</x:v>
      </x:c>
      <x:c r="K14" s="18" t="n">
        <x:f>SUMIFS('1_店铺账单明细'!$H:$H,'1_店铺账单明细'!$A:$A,$A14,'1_店铺账单明细'!$C:$C,"水电")</x:f>
        <x:v>0</x:v>
      </x:c>
      <x:c r="L14" s="18" t="n">
        <x:f>SUMIFS('1_店铺账单明细'!$H:$H,'1_店铺账单明细'!$A:$A,$A14,'1_店铺账单明细'!$C:$C,"营销")</x:f>
        <x:v>0</x:v>
      </x:c>
      <x:c r="M14" s="18" t="n">
        <x:f>SUMIFS('1_店铺账单明细'!$H:$H,'1_店铺账单明细'!$A:$A,$A14)-SUM(H14:L14)</x:f>
        <x:v>0</x:v>
      </x:c>
      <x:c r="N14" s="18" t="n">
        <x:f>SUM(H14:M14)</x:f>
        <x:v>0</x:v>
      </x:c>
      <x:c r="O14" s="18" t="n">
        <x:f>G14-N14</x:f>
        <x:v>0</x:v>
      </x:c>
      <x:c r="P14" s="24"/>
      <x:c r="Q14" s="18" t="str">
        <x:f>IFERROR(G14/P14,"")</x:f>
      </x:c>
      <x:c r="R14" s="17" t="str"/>
    </x:row>
    <x:row r="15">
      <x:c r="A15" s="16" t="n">
        <x:v>46217</x:v>
      </x:c>
      <x:c r="B15" s="17" t="str">
        <x:f>CHOOSE(WEEKDAY(A15,2),"一","二","三","四","五","六","日")</x:f>
        <x:v>二</x:v>
      </x:c>
      <x:c r="C15" s="17" t="n">
        <x:v>14</x:v>
      </x:c>
      <x:c r="D15" s="18" t="n">
        <x:f>SUMIFS('1_店铺账单明细'!$G:$G,'1_店铺账单明细'!$A:$A,$A15,'1_店铺账单明细'!$C:$C,"收入",'1_店铺账单明细'!$D:$D,"客如云/收银")</x:f>
        <x:v>0</x:v>
      </x:c>
      <x:c r="E15" s="18" t="n">
        <x:f>SUMIFS('1_店铺账单明细'!$G:$G,'1_店铺账单明细'!$A:$A,$A15,'1_店铺账单明细'!$C:$C,"收入",'1_店铺账单明细'!$D:$D,"美团")+SUMIFS('1_店铺账单明细'!$G:$G,'1_店铺账单明细'!$A:$A,$A15,'1_店铺账单明细'!$C:$C,"收入",'1_店铺账单明细'!$D:$D,"淘宝闪购")</x:f>
        <x:v>0</x:v>
      </x:c>
      <x:c r="F15" s="18" t="n">
        <x:f>SUMIFS('1_店铺账单明细'!$G:$G,'1_店铺账单明细'!$A:$A,$A15,'1_店铺账单明细'!$C:$C,"收入")-D15-E15</x:f>
        <x:v>0</x:v>
      </x:c>
      <x:c r="G15" s="18" t="n">
        <x:f>SUM(D15:F15)</x:f>
        <x:v>0</x:v>
      </x:c>
      <x:c r="H15" s="18" t="n">
        <x:f>SUMIFS('1_店铺账单明细'!$H:$H,'1_店铺账单明细'!$A:$A,$A15,'1_店铺账单明细'!$C:$C,"进货成本")</x:f>
        <x:v>0</x:v>
      </x:c>
      <x:c r="I15" s="18" t="n">
        <x:f>SUMIFS('1_店铺账单明细'!$H:$H,'1_店铺账单明细'!$A:$A,$A15,'1_店铺账单明细'!$C:$C,"人工")</x:f>
        <x:v>0</x:v>
      </x:c>
      <x:c r="J15" s="18" t="n">
        <x:f>SUMIFS('1_店铺账单明细'!$H:$H,'1_店铺账单明细'!$A:$A,$A15,'1_店铺账单明细'!$C:$C,"房租")</x:f>
        <x:v>0</x:v>
      </x:c>
      <x:c r="K15" s="18" t="n">
        <x:f>SUMIFS('1_店铺账单明细'!$H:$H,'1_店铺账单明细'!$A:$A,$A15,'1_店铺账单明细'!$C:$C,"水电")</x:f>
        <x:v>0</x:v>
      </x:c>
      <x:c r="L15" s="18" t="n">
        <x:f>SUMIFS('1_店铺账单明细'!$H:$H,'1_店铺账单明细'!$A:$A,$A15,'1_店铺账单明细'!$C:$C,"营销")</x:f>
        <x:v>0</x:v>
      </x:c>
      <x:c r="M15" s="18" t="n">
        <x:f>SUMIFS('1_店铺账单明细'!$H:$H,'1_店铺账单明细'!$A:$A,$A15)-SUM(H15:L15)</x:f>
        <x:v>0</x:v>
      </x:c>
      <x:c r="N15" s="18" t="n">
        <x:f>SUM(H15:M15)</x:f>
        <x:v>0</x:v>
      </x:c>
      <x:c r="O15" s="18" t="n">
        <x:f>G15-N15</x:f>
        <x:v>0</x:v>
      </x:c>
      <x:c r="P15" s="24"/>
      <x:c r="Q15" s="18" t="str">
        <x:f>IFERROR(G15/P15,"")</x:f>
      </x:c>
      <x:c r="R15" s="17" t="str"/>
    </x:row>
    <x:row r="16">
      <x:c r="A16" s="16" t="n">
        <x:v>46218</x:v>
      </x:c>
      <x:c r="B16" s="17" t="str">
        <x:f>CHOOSE(WEEKDAY(A16,2),"一","二","三","四","五","六","日")</x:f>
        <x:v>三</x:v>
      </x:c>
      <x:c r="C16" s="17" t="n">
        <x:v>15</x:v>
      </x:c>
      <x:c r="D16" s="18" t="n">
        <x:f>SUMIFS('1_店铺账单明细'!$G:$G,'1_店铺账单明细'!$A:$A,$A16,'1_店铺账单明细'!$C:$C,"收入",'1_店铺账单明细'!$D:$D,"客如云/收银")</x:f>
        <x:v>0</x:v>
      </x:c>
      <x:c r="E16" s="18" t="n">
        <x:f>SUMIFS('1_店铺账单明细'!$G:$G,'1_店铺账单明细'!$A:$A,$A16,'1_店铺账单明细'!$C:$C,"收入",'1_店铺账单明细'!$D:$D,"美团")+SUMIFS('1_店铺账单明细'!$G:$G,'1_店铺账单明细'!$A:$A,$A16,'1_店铺账单明细'!$C:$C,"收入",'1_店铺账单明细'!$D:$D,"淘宝闪购")</x:f>
        <x:v>0</x:v>
      </x:c>
      <x:c r="F16" s="18" t="n">
        <x:f>SUMIFS('1_店铺账单明细'!$G:$G,'1_店铺账单明细'!$A:$A,$A16,'1_店铺账单明细'!$C:$C,"收入")-D16-E16</x:f>
        <x:v>0</x:v>
      </x:c>
      <x:c r="G16" s="18" t="n">
        <x:f>SUM(D16:F16)</x:f>
        <x:v>0</x:v>
      </x:c>
      <x:c r="H16" s="18" t="n">
        <x:f>SUMIFS('1_店铺账单明细'!$H:$H,'1_店铺账单明细'!$A:$A,$A16,'1_店铺账单明细'!$C:$C,"进货成本")</x:f>
        <x:v>0</x:v>
      </x:c>
      <x:c r="I16" s="18" t="n">
        <x:f>SUMIFS('1_店铺账单明细'!$H:$H,'1_店铺账单明细'!$A:$A,$A16,'1_店铺账单明细'!$C:$C,"人工")</x:f>
        <x:v>0</x:v>
      </x:c>
      <x:c r="J16" s="18" t="n">
        <x:f>SUMIFS('1_店铺账单明细'!$H:$H,'1_店铺账单明细'!$A:$A,$A16,'1_店铺账单明细'!$C:$C,"房租")</x:f>
        <x:v>0</x:v>
      </x:c>
      <x:c r="K16" s="18" t="n">
        <x:f>SUMIFS('1_店铺账单明细'!$H:$H,'1_店铺账单明细'!$A:$A,$A16,'1_店铺账单明细'!$C:$C,"水电")</x:f>
        <x:v>0</x:v>
      </x:c>
      <x:c r="L16" s="18" t="n">
        <x:f>SUMIFS('1_店铺账单明细'!$H:$H,'1_店铺账单明细'!$A:$A,$A16,'1_店铺账单明细'!$C:$C,"营销")</x:f>
        <x:v>0</x:v>
      </x:c>
      <x:c r="M16" s="18" t="n">
        <x:f>SUMIFS('1_店铺账单明细'!$H:$H,'1_店铺账单明细'!$A:$A,$A16)-SUM(H16:L16)</x:f>
        <x:v>0</x:v>
      </x:c>
      <x:c r="N16" s="18" t="n">
        <x:f>SUM(H16:M16)</x:f>
        <x:v>0</x:v>
      </x:c>
      <x:c r="O16" s="18" t="n">
        <x:f>G16-N16</x:f>
        <x:v>0</x:v>
      </x:c>
      <x:c r="P16" s="24"/>
      <x:c r="Q16" s="18" t="str">
        <x:f>IFERROR(G16/P16,"")</x:f>
      </x:c>
      <x:c r="R16" s="17" t="str"/>
    </x:row>
    <x:row r="17">
      <x:c r="A17" s="16" t="n">
        <x:v>46219</x:v>
      </x:c>
      <x:c r="B17" s="17" t="str">
        <x:f>CHOOSE(WEEKDAY(A17,2),"一","二","三","四","五","六","日")</x:f>
        <x:v>四</x:v>
      </x:c>
      <x:c r="C17" s="17" t="n">
        <x:v>16</x:v>
      </x:c>
      <x:c r="D17" s="18" t="n">
        <x:f>SUMIFS('1_店铺账单明细'!$G:$G,'1_店铺账单明细'!$A:$A,$A17,'1_店铺账单明细'!$C:$C,"收入",'1_店铺账单明细'!$D:$D,"客如云/收银")</x:f>
        <x:v>0</x:v>
      </x:c>
      <x:c r="E17" s="18" t="n">
        <x:f>SUMIFS('1_店铺账单明细'!$G:$G,'1_店铺账单明细'!$A:$A,$A17,'1_店铺账单明细'!$C:$C,"收入",'1_店铺账单明细'!$D:$D,"美团")+SUMIFS('1_店铺账单明细'!$G:$G,'1_店铺账单明细'!$A:$A,$A17,'1_店铺账单明细'!$C:$C,"收入",'1_店铺账单明细'!$D:$D,"淘宝闪购")</x:f>
        <x:v>0</x:v>
      </x:c>
      <x:c r="F17" s="18" t="n">
        <x:f>SUMIFS('1_店铺账单明细'!$G:$G,'1_店铺账单明细'!$A:$A,$A17,'1_店铺账单明细'!$C:$C,"收入")-D17-E17</x:f>
        <x:v>0</x:v>
      </x:c>
      <x:c r="G17" s="18" t="n">
        <x:f>SUM(D17:F17)</x:f>
        <x:v>0</x:v>
      </x:c>
      <x:c r="H17" s="18" t="n">
        <x:f>SUMIFS('1_店铺账单明细'!$H:$H,'1_店铺账单明细'!$A:$A,$A17,'1_店铺账单明细'!$C:$C,"进货成本")</x:f>
        <x:v>0</x:v>
      </x:c>
      <x:c r="I17" s="18" t="n">
        <x:f>SUMIFS('1_店铺账单明细'!$H:$H,'1_店铺账单明细'!$A:$A,$A17,'1_店铺账单明细'!$C:$C,"人工")</x:f>
        <x:v>0</x:v>
      </x:c>
      <x:c r="J17" s="18" t="n">
        <x:f>SUMIFS('1_店铺账单明细'!$H:$H,'1_店铺账单明细'!$A:$A,$A17,'1_店铺账单明细'!$C:$C,"房租")</x:f>
        <x:v>0</x:v>
      </x:c>
      <x:c r="K17" s="18" t="n">
        <x:f>SUMIFS('1_店铺账单明细'!$H:$H,'1_店铺账单明细'!$A:$A,$A17,'1_店铺账单明细'!$C:$C,"水电")</x:f>
        <x:v>0</x:v>
      </x:c>
      <x:c r="L17" s="18" t="n">
        <x:f>SUMIFS('1_店铺账单明细'!$H:$H,'1_店铺账单明细'!$A:$A,$A17,'1_店铺账单明细'!$C:$C,"营销")</x:f>
        <x:v>0</x:v>
      </x:c>
      <x:c r="M17" s="18" t="n">
        <x:f>SUMIFS('1_店铺账单明细'!$H:$H,'1_店铺账单明细'!$A:$A,$A17)-SUM(H17:L17)</x:f>
        <x:v>0</x:v>
      </x:c>
      <x:c r="N17" s="18" t="n">
        <x:f>SUM(H17:M17)</x:f>
        <x:v>0</x:v>
      </x:c>
      <x:c r="O17" s="18" t="n">
        <x:f>G17-N17</x:f>
        <x:v>0</x:v>
      </x:c>
      <x:c r="P17" s="24"/>
      <x:c r="Q17" s="18" t="str">
        <x:f>IFERROR(G17/P17,"")</x:f>
      </x:c>
      <x:c r="R17" s="17" t="str"/>
    </x:row>
    <x:row r="18">
      <x:c r="A18" s="16" t="n">
        <x:v>46220</x:v>
      </x:c>
      <x:c r="B18" s="17" t="str">
        <x:f>CHOOSE(WEEKDAY(A18,2),"一","二","三","四","五","六","日")</x:f>
        <x:v>五</x:v>
      </x:c>
      <x:c r="C18" s="17" t="n">
        <x:v>17</x:v>
      </x:c>
      <x:c r="D18" s="18" t="n">
        <x:f>SUMIFS('1_店铺账单明细'!$G:$G,'1_店铺账单明细'!$A:$A,$A18,'1_店铺账单明细'!$C:$C,"收入",'1_店铺账单明细'!$D:$D,"客如云/收银")</x:f>
        <x:v>0</x:v>
      </x:c>
      <x:c r="E18" s="18" t="n">
        <x:f>SUMIFS('1_店铺账单明细'!$G:$G,'1_店铺账单明细'!$A:$A,$A18,'1_店铺账单明细'!$C:$C,"收入",'1_店铺账单明细'!$D:$D,"美团")+SUMIFS('1_店铺账单明细'!$G:$G,'1_店铺账单明细'!$A:$A,$A18,'1_店铺账单明细'!$C:$C,"收入",'1_店铺账单明细'!$D:$D,"淘宝闪购")</x:f>
        <x:v>0</x:v>
      </x:c>
      <x:c r="F18" s="18" t="n">
        <x:f>SUMIFS('1_店铺账单明细'!$G:$G,'1_店铺账单明细'!$A:$A,$A18,'1_店铺账单明细'!$C:$C,"收入")-D18-E18</x:f>
        <x:v>0</x:v>
      </x:c>
      <x:c r="G18" s="18" t="n">
        <x:f>SUM(D18:F18)</x:f>
        <x:v>0</x:v>
      </x:c>
      <x:c r="H18" s="18" t="n">
        <x:f>SUMIFS('1_店铺账单明细'!$H:$H,'1_店铺账单明细'!$A:$A,$A18,'1_店铺账单明细'!$C:$C,"进货成本")</x:f>
        <x:v>0</x:v>
      </x:c>
      <x:c r="I18" s="18" t="n">
        <x:f>SUMIFS('1_店铺账单明细'!$H:$H,'1_店铺账单明细'!$A:$A,$A18,'1_店铺账单明细'!$C:$C,"人工")</x:f>
        <x:v>0</x:v>
      </x:c>
      <x:c r="J18" s="18" t="n">
        <x:f>SUMIFS('1_店铺账单明细'!$H:$H,'1_店铺账单明细'!$A:$A,$A18,'1_店铺账单明细'!$C:$C,"房租")</x:f>
        <x:v>0</x:v>
      </x:c>
      <x:c r="K18" s="18" t="n">
        <x:f>SUMIFS('1_店铺账单明细'!$H:$H,'1_店铺账单明细'!$A:$A,$A18,'1_店铺账单明细'!$C:$C,"水电")</x:f>
        <x:v>0</x:v>
      </x:c>
      <x:c r="L18" s="18" t="n">
        <x:f>SUMIFS('1_店铺账单明细'!$H:$H,'1_店铺账单明细'!$A:$A,$A18,'1_店铺账单明细'!$C:$C,"营销")</x:f>
        <x:v>0</x:v>
      </x:c>
      <x:c r="M18" s="18" t="n">
        <x:f>SUMIFS('1_店铺账单明细'!$H:$H,'1_店铺账单明细'!$A:$A,$A18)-SUM(H18:L18)</x:f>
        <x:v>0</x:v>
      </x:c>
      <x:c r="N18" s="18" t="n">
        <x:f>SUM(H18:M18)</x:f>
        <x:v>0</x:v>
      </x:c>
      <x:c r="O18" s="18" t="n">
        <x:f>G18-N18</x:f>
        <x:v>0</x:v>
      </x:c>
      <x:c r="P18" s="24"/>
      <x:c r="Q18" s="18" t="str">
        <x:f>IFERROR(G18/P18,"")</x:f>
      </x:c>
      <x:c r="R18" s="17" t="str"/>
    </x:row>
    <x:row r="19">
      <x:c r="A19" s="16" t="n">
        <x:v>46221</x:v>
      </x:c>
      <x:c r="B19" s="17" t="str">
        <x:f>CHOOSE(WEEKDAY(A19,2),"一","二","三","四","五","六","日")</x:f>
        <x:v>六</x:v>
      </x:c>
      <x:c r="C19" s="17" t="n">
        <x:v>18</x:v>
      </x:c>
      <x:c r="D19" s="18" t="n">
        <x:f>SUMIFS('1_店铺账单明细'!$G:$G,'1_店铺账单明细'!$A:$A,$A19,'1_店铺账单明细'!$C:$C,"收入",'1_店铺账单明细'!$D:$D,"客如云/收银")</x:f>
        <x:v>0</x:v>
      </x:c>
      <x:c r="E19" s="18" t="n">
        <x:f>SUMIFS('1_店铺账单明细'!$G:$G,'1_店铺账单明细'!$A:$A,$A19,'1_店铺账单明细'!$C:$C,"收入",'1_店铺账单明细'!$D:$D,"美团")+SUMIFS('1_店铺账单明细'!$G:$G,'1_店铺账单明细'!$A:$A,$A19,'1_店铺账单明细'!$C:$C,"收入",'1_店铺账单明细'!$D:$D,"淘宝闪购")</x:f>
        <x:v>0</x:v>
      </x:c>
      <x:c r="F19" s="18" t="n">
        <x:f>SUMIFS('1_店铺账单明细'!$G:$G,'1_店铺账单明细'!$A:$A,$A19,'1_店铺账单明细'!$C:$C,"收入")-D19-E19</x:f>
        <x:v>0</x:v>
      </x:c>
      <x:c r="G19" s="18" t="n">
        <x:f>SUM(D19:F19)</x:f>
        <x:v>0</x:v>
      </x:c>
      <x:c r="H19" s="18" t="n">
        <x:f>SUMIFS('1_店铺账单明细'!$H:$H,'1_店铺账单明细'!$A:$A,$A19,'1_店铺账单明细'!$C:$C,"进货成本")</x:f>
        <x:v>0</x:v>
      </x:c>
      <x:c r="I19" s="18" t="n">
        <x:f>SUMIFS('1_店铺账单明细'!$H:$H,'1_店铺账单明细'!$A:$A,$A19,'1_店铺账单明细'!$C:$C,"人工")</x:f>
        <x:v>0</x:v>
      </x:c>
      <x:c r="J19" s="18" t="n">
        <x:f>SUMIFS('1_店铺账单明细'!$H:$H,'1_店铺账单明细'!$A:$A,$A19,'1_店铺账单明细'!$C:$C,"房租")</x:f>
        <x:v>0</x:v>
      </x:c>
      <x:c r="K19" s="18" t="n">
        <x:f>SUMIFS('1_店铺账单明细'!$H:$H,'1_店铺账单明细'!$A:$A,$A19,'1_店铺账单明细'!$C:$C,"水电")</x:f>
        <x:v>0</x:v>
      </x:c>
      <x:c r="L19" s="18" t="n">
        <x:f>SUMIFS('1_店铺账单明细'!$H:$H,'1_店铺账单明细'!$A:$A,$A19,'1_店铺账单明细'!$C:$C,"营销")</x:f>
        <x:v>0</x:v>
      </x:c>
      <x:c r="M19" s="18" t="n">
        <x:f>SUMIFS('1_店铺账单明细'!$H:$H,'1_店铺账单明细'!$A:$A,$A19)-SUM(H19:L19)</x:f>
        <x:v>0</x:v>
      </x:c>
      <x:c r="N19" s="18" t="n">
        <x:f>SUM(H19:M19)</x:f>
        <x:v>0</x:v>
      </x:c>
      <x:c r="O19" s="18" t="n">
        <x:f>G19-N19</x:f>
        <x:v>0</x:v>
      </x:c>
      <x:c r="P19" s="24"/>
      <x:c r="Q19" s="18" t="str">
        <x:f>IFERROR(G19/P19,"")</x:f>
      </x:c>
      <x:c r="R19" s="17" t="str"/>
    </x:row>
    <x:row r="20">
      <x:c r="A20" s="16" t="n">
        <x:v>46222</x:v>
      </x:c>
      <x:c r="B20" s="17" t="str">
        <x:f>CHOOSE(WEEKDAY(A20,2),"一","二","三","四","五","六","日")</x:f>
        <x:v>日</x:v>
      </x:c>
      <x:c r="C20" s="17" t="n">
        <x:v>19</x:v>
      </x:c>
      <x:c r="D20" s="18" t="n">
        <x:f>SUMIFS('1_店铺账单明细'!$G:$G,'1_店铺账单明细'!$A:$A,$A20,'1_店铺账单明细'!$C:$C,"收入",'1_店铺账单明细'!$D:$D,"客如云/收银")</x:f>
        <x:v>0</x:v>
      </x:c>
      <x:c r="E20" s="18" t="n">
        <x:f>SUMIFS('1_店铺账单明细'!$G:$G,'1_店铺账单明细'!$A:$A,$A20,'1_店铺账单明细'!$C:$C,"收入",'1_店铺账单明细'!$D:$D,"美团")+SUMIFS('1_店铺账单明细'!$G:$G,'1_店铺账单明细'!$A:$A,$A20,'1_店铺账单明细'!$C:$C,"收入",'1_店铺账单明细'!$D:$D,"淘宝闪购")</x:f>
        <x:v>0</x:v>
      </x:c>
      <x:c r="F20" s="18" t="n">
        <x:f>SUMIFS('1_店铺账单明细'!$G:$G,'1_店铺账单明细'!$A:$A,$A20,'1_店铺账单明细'!$C:$C,"收入")-D20-E20</x:f>
        <x:v>0</x:v>
      </x:c>
      <x:c r="G20" s="18" t="n">
        <x:f>SUM(D20:F20)</x:f>
        <x:v>0</x:v>
      </x:c>
      <x:c r="H20" s="18" t="n">
        <x:f>SUMIFS('1_店铺账单明细'!$H:$H,'1_店铺账单明细'!$A:$A,$A20,'1_店铺账单明细'!$C:$C,"进货成本")</x:f>
        <x:v>0</x:v>
      </x:c>
      <x:c r="I20" s="18" t="n">
        <x:f>SUMIFS('1_店铺账单明细'!$H:$H,'1_店铺账单明细'!$A:$A,$A20,'1_店铺账单明细'!$C:$C,"人工")</x:f>
        <x:v>0</x:v>
      </x:c>
      <x:c r="J20" s="18" t="n">
        <x:f>SUMIFS('1_店铺账单明细'!$H:$H,'1_店铺账单明细'!$A:$A,$A20,'1_店铺账单明细'!$C:$C,"房租")</x:f>
        <x:v>0</x:v>
      </x:c>
      <x:c r="K20" s="18" t="n">
        <x:f>SUMIFS('1_店铺账单明细'!$H:$H,'1_店铺账单明细'!$A:$A,$A20,'1_店铺账单明细'!$C:$C,"水电")</x:f>
        <x:v>0</x:v>
      </x:c>
      <x:c r="L20" s="18" t="n">
        <x:f>SUMIFS('1_店铺账单明细'!$H:$H,'1_店铺账单明细'!$A:$A,$A20,'1_店铺账单明细'!$C:$C,"营销")</x:f>
        <x:v>0</x:v>
      </x:c>
      <x:c r="M20" s="18" t="n">
        <x:f>SUMIFS('1_店铺账单明细'!$H:$H,'1_店铺账单明细'!$A:$A,$A20)-SUM(H20:L20)</x:f>
        <x:v>0</x:v>
      </x:c>
      <x:c r="N20" s="18" t="n">
        <x:f>SUM(H20:M20)</x:f>
        <x:v>0</x:v>
      </x:c>
      <x:c r="O20" s="18" t="n">
        <x:f>G20-N20</x:f>
        <x:v>0</x:v>
      </x:c>
      <x:c r="P20" s="24"/>
      <x:c r="Q20" s="18" t="str">
        <x:f>IFERROR(G20/P20,"")</x:f>
      </x:c>
      <x:c r="R20" s="17" t="str"/>
    </x:row>
    <x:row r="21">
      <x:c r="A21" s="16" t="n">
        <x:v>46223</x:v>
      </x:c>
      <x:c r="B21" s="17" t="str">
        <x:f>CHOOSE(WEEKDAY(A21,2),"一","二","三","四","五","六","日")</x:f>
        <x:v>一</x:v>
      </x:c>
      <x:c r="C21" s="17" t="n">
        <x:v>20</x:v>
      </x:c>
      <x:c r="D21" s="18" t="n">
        <x:f>SUMIFS('1_店铺账单明细'!$G:$G,'1_店铺账单明细'!$A:$A,$A21,'1_店铺账单明细'!$C:$C,"收入",'1_店铺账单明细'!$D:$D,"客如云/收银")</x:f>
        <x:v>0</x:v>
      </x:c>
      <x:c r="E21" s="18" t="n">
        <x:f>SUMIFS('1_店铺账单明细'!$G:$G,'1_店铺账单明细'!$A:$A,$A21,'1_店铺账单明细'!$C:$C,"收入",'1_店铺账单明细'!$D:$D,"美团")+SUMIFS('1_店铺账单明细'!$G:$G,'1_店铺账单明细'!$A:$A,$A21,'1_店铺账单明细'!$C:$C,"收入",'1_店铺账单明细'!$D:$D,"淘宝闪购")</x:f>
        <x:v>0</x:v>
      </x:c>
      <x:c r="F21" s="18" t="n">
        <x:f>SUMIFS('1_店铺账单明细'!$G:$G,'1_店铺账单明细'!$A:$A,$A21,'1_店铺账单明细'!$C:$C,"收入")-D21-E21</x:f>
        <x:v>0</x:v>
      </x:c>
      <x:c r="G21" s="18" t="n">
        <x:f>SUM(D21:F21)</x:f>
        <x:v>0</x:v>
      </x:c>
      <x:c r="H21" s="18" t="n">
        <x:f>SUMIFS('1_店铺账单明细'!$H:$H,'1_店铺账单明细'!$A:$A,$A21,'1_店铺账单明细'!$C:$C,"进货成本")</x:f>
        <x:v>0</x:v>
      </x:c>
      <x:c r="I21" s="18" t="n">
        <x:f>SUMIFS('1_店铺账单明细'!$H:$H,'1_店铺账单明细'!$A:$A,$A21,'1_店铺账单明细'!$C:$C,"人工")</x:f>
        <x:v>0</x:v>
      </x:c>
      <x:c r="J21" s="18" t="n">
        <x:f>SUMIFS('1_店铺账单明细'!$H:$H,'1_店铺账单明细'!$A:$A,$A21,'1_店铺账单明细'!$C:$C,"房租")</x:f>
        <x:v>0</x:v>
      </x:c>
      <x:c r="K21" s="18" t="n">
        <x:f>SUMIFS('1_店铺账单明细'!$H:$H,'1_店铺账单明细'!$A:$A,$A21,'1_店铺账单明细'!$C:$C,"水电")</x:f>
        <x:v>0</x:v>
      </x:c>
      <x:c r="L21" s="18" t="n">
        <x:f>SUMIFS('1_店铺账单明细'!$H:$H,'1_店铺账单明细'!$A:$A,$A21,'1_店铺账单明细'!$C:$C,"营销")</x:f>
        <x:v>0</x:v>
      </x:c>
      <x:c r="M21" s="18" t="n">
        <x:f>SUMIFS('1_店铺账单明细'!$H:$H,'1_店铺账单明细'!$A:$A,$A21)-SUM(H21:L21)</x:f>
        <x:v>0</x:v>
      </x:c>
      <x:c r="N21" s="18" t="n">
        <x:f>SUM(H21:M21)</x:f>
        <x:v>0</x:v>
      </x:c>
      <x:c r="O21" s="18" t="n">
        <x:f>G21-N21</x:f>
        <x:v>0</x:v>
      </x:c>
      <x:c r="P21" s="24"/>
      <x:c r="Q21" s="18" t="str">
        <x:f>IFERROR(G21/P21,"")</x:f>
      </x:c>
      <x:c r="R21" s="17" t="str"/>
    </x:row>
    <x:row r="22">
      <x:c r="A22" s="16" t="n">
        <x:v>46224</x:v>
      </x:c>
      <x:c r="B22" s="17" t="str">
        <x:f>CHOOSE(WEEKDAY(A22,2),"一","二","三","四","五","六","日")</x:f>
        <x:v>二</x:v>
      </x:c>
      <x:c r="C22" s="17" t="n">
        <x:v>21</x:v>
      </x:c>
      <x:c r="D22" s="18" t="n">
        <x:f>SUMIFS('1_店铺账单明细'!$G:$G,'1_店铺账单明细'!$A:$A,$A22,'1_店铺账单明细'!$C:$C,"收入",'1_店铺账单明细'!$D:$D,"客如云/收银")</x:f>
        <x:v>0</x:v>
      </x:c>
      <x:c r="E22" s="18" t="n">
        <x:f>SUMIFS('1_店铺账单明细'!$G:$G,'1_店铺账单明细'!$A:$A,$A22,'1_店铺账单明细'!$C:$C,"收入",'1_店铺账单明细'!$D:$D,"美团")+SUMIFS('1_店铺账单明细'!$G:$G,'1_店铺账单明细'!$A:$A,$A22,'1_店铺账单明细'!$C:$C,"收入",'1_店铺账单明细'!$D:$D,"淘宝闪购")</x:f>
        <x:v>0</x:v>
      </x:c>
      <x:c r="F22" s="18" t="n">
        <x:f>SUMIFS('1_店铺账单明细'!$G:$G,'1_店铺账单明细'!$A:$A,$A22,'1_店铺账单明细'!$C:$C,"收入")-D22-E22</x:f>
        <x:v>0</x:v>
      </x:c>
      <x:c r="G22" s="18" t="n">
        <x:f>SUM(D22:F22)</x:f>
        <x:v>0</x:v>
      </x:c>
      <x:c r="H22" s="18" t="n">
        <x:f>SUMIFS('1_店铺账单明细'!$H:$H,'1_店铺账单明细'!$A:$A,$A22,'1_店铺账单明细'!$C:$C,"进货成本")</x:f>
        <x:v>0</x:v>
      </x:c>
      <x:c r="I22" s="18" t="n">
        <x:f>SUMIFS('1_店铺账单明细'!$H:$H,'1_店铺账单明细'!$A:$A,$A22,'1_店铺账单明细'!$C:$C,"人工")</x:f>
        <x:v>0</x:v>
      </x:c>
      <x:c r="J22" s="18" t="n">
        <x:f>SUMIFS('1_店铺账单明细'!$H:$H,'1_店铺账单明细'!$A:$A,$A22,'1_店铺账单明细'!$C:$C,"房租")</x:f>
        <x:v>0</x:v>
      </x:c>
      <x:c r="K22" s="18" t="n">
        <x:f>SUMIFS('1_店铺账单明细'!$H:$H,'1_店铺账单明细'!$A:$A,$A22,'1_店铺账单明细'!$C:$C,"水电")</x:f>
        <x:v>0</x:v>
      </x:c>
      <x:c r="L22" s="18" t="n">
        <x:f>SUMIFS('1_店铺账单明细'!$H:$H,'1_店铺账单明细'!$A:$A,$A22,'1_店铺账单明细'!$C:$C,"营销")</x:f>
        <x:v>0</x:v>
      </x:c>
      <x:c r="M22" s="18" t="n">
        <x:f>SUMIFS('1_店铺账单明细'!$H:$H,'1_店铺账单明细'!$A:$A,$A22)-SUM(H22:L22)</x:f>
        <x:v>0</x:v>
      </x:c>
      <x:c r="N22" s="18" t="n">
        <x:f>SUM(H22:M22)</x:f>
        <x:v>0</x:v>
      </x:c>
      <x:c r="O22" s="18" t="n">
        <x:f>G22-N22</x:f>
        <x:v>0</x:v>
      </x:c>
      <x:c r="P22" s="24"/>
      <x:c r="Q22" s="18" t="str">
        <x:f>IFERROR(G22/P22,"")</x:f>
      </x:c>
      <x:c r="R22" s="17" t="str"/>
    </x:row>
    <x:row r="23">
      <x:c r="A23" s="16" t="n">
        <x:v>46225</x:v>
      </x:c>
      <x:c r="B23" s="17" t="str">
        <x:f>CHOOSE(WEEKDAY(A23,2),"一","二","三","四","五","六","日")</x:f>
        <x:v>三</x:v>
      </x:c>
      <x:c r="C23" s="17" t="n">
        <x:v>22</x:v>
      </x:c>
      <x:c r="D23" s="18" t="n">
        <x:f>SUMIFS('1_店铺账单明细'!$G:$G,'1_店铺账单明细'!$A:$A,$A23,'1_店铺账单明细'!$C:$C,"收入",'1_店铺账单明细'!$D:$D,"客如云/收银")</x:f>
        <x:v>0</x:v>
      </x:c>
      <x:c r="E23" s="18" t="n">
        <x:f>SUMIFS('1_店铺账单明细'!$G:$G,'1_店铺账单明细'!$A:$A,$A23,'1_店铺账单明细'!$C:$C,"收入",'1_店铺账单明细'!$D:$D,"美团")+SUMIFS('1_店铺账单明细'!$G:$G,'1_店铺账单明细'!$A:$A,$A23,'1_店铺账单明细'!$C:$C,"收入",'1_店铺账单明细'!$D:$D,"淘宝闪购")</x:f>
        <x:v>0</x:v>
      </x:c>
      <x:c r="F23" s="18" t="n">
        <x:f>SUMIFS('1_店铺账单明细'!$G:$G,'1_店铺账单明细'!$A:$A,$A23,'1_店铺账单明细'!$C:$C,"收入")-D23-E23</x:f>
        <x:v>0</x:v>
      </x:c>
      <x:c r="G23" s="18" t="n">
        <x:f>SUM(D23:F23)</x:f>
        <x:v>0</x:v>
      </x:c>
      <x:c r="H23" s="18" t="n">
        <x:f>SUMIFS('1_店铺账单明细'!$H:$H,'1_店铺账单明细'!$A:$A,$A23,'1_店铺账单明细'!$C:$C,"进货成本")</x:f>
        <x:v>0</x:v>
      </x:c>
      <x:c r="I23" s="18" t="n">
        <x:f>SUMIFS('1_店铺账单明细'!$H:$H,'1_店铺账单明细'!$A:$A,$A23,'1_店铺账单明细'!$C:$C,"人工")</x:f>
        <x:v>0</x:v>
      </x:c>
      <x:c r="J23" s="18" t="n">
        <x:f>SUMIFS('1_店铺账单明细'!$H:$H,'1_店铺账单明细'!$A:$A,$A23,'1_店铺账单明细'!$C:$C,"房租")</x:f>
        <x:v>0</x:v>
      </x:c>
      <x:c r="K23" s="18" t="n">
        <x:f>SUMIFS('1_店铺账单明细'!$H:$H,'1_店铺账单明细'!$A:$A,$A23,'1_店铺账单明细'!$C:$C,"水电")</x:f>
        <x:v>0</x:v>
      </x:c>
      <x:c r="L23" s="18" t="n">
        <x:f>SUMIFS('1_店铺账单明细'!$H:$H,'1_店铺账单明细'!$A:$A,$A23,'1_店铺账单明细'!$C:$C,"营销")</x:f>
        <x:v>0</x:v>
      </x:c>
      <x:c r="M23" s="18" t="n">
        <x:f>SUMIFS('1_店铺账单明细'!$H:$H,'1_店铺账单明细'!$A:$A,$A23)-SUM(H23:L23)</x:f>
        <x:v>0</x:v>
      </x:c>
      <x:c r="N23" s="18" t="n">
        <x:f>SUM(H23:M23)</x:f>
        <x:v>0</x:v>
      </x:c>
      <x:c r="O23" s="18" t="n">
        <x:f>G23-N23</x:f>
        <x:v>0</x:v>
      </x:c>
      <x:c r="P23" s="24"/>
      <x:c r="Q23" s="18" t="str">
        <x:f>IFERROR(G23/P23,"")</x:f>
      </x:c>
      <x:c r="R23" s="17" t="str"/>
    </x:row>
    <x:row r="24">
      <x:c r="A24" s="16" t="n">
        <x:v>46226</x:v>
      </x:c>
      <x:c r="B24" s="17" t="str">
        <x:f>CHOOSE(WEEKDAY(A24,2),"一","二","三","四","五","六","日")</x:f>
        <x:v>四</x:v>
      </x:c>
      <x:c r="C24" s="17" t="n">
        <x:v>23</x:v>
      </x:c>
      <x:c r="D24" s="18" t="n">
        <x:f>SUMIFS('1_店铺账单明细'!$G:$G,'1_店铺账单明细'!$A:$A,$A24,'1_店铺账单明细'!$C:$C,"收入",'1_店铺账单明细'!$D:$D,"客如云/收银")</x:f>
        <x:v>0</x:v>
      </x:c>
      <x:c r="E24" s="18" t="n">
        <x:f>SUMIFS('1_店铺账单明细'!$G:$G,'1_店铺账单明细'!$A:$A,$A24,'1_店铺账单明细'!$C:$C,"收入",'1_店铺账单明细'!$D:$D,"美团")+SUMIFS('1_店铺账单明细'!$G:$G,'1_店铺账单明细'!$A:$A,$A24,'1_店铺账单明细'!$C:$C,"收入",'1_店铺账单明细'!$D:$D,"淘宝闪购")</x:f>
        <x:v>0</x:v>
      </x:c>
      <x:c r="F24" s="18" t="n">
        <x:f>SUMIFS('1_店铺账单明细'!$G:$G,'1_店铺账单明细'!$A:$A,$A24,'1_店铺账单明细'!$C:$C,"收入")-D24-E24</x:f>
        <x:v>0</x:v>
      </x:c>
      <x:c r="G24" s="18" t="n">
        <x:f>SUM(D24:F24)</x:f>
        <x:v>0</x:v>
      </x:c>
      <x:c r="H24" s="18" t="n">
        <x:f>SUMIFS('1_店铺账单明细'!$H:$H,'1_店铺账单明细'!$A:$A,$A24,'1_店铺账单明细'!$C:$C,"进货成本")</x:f>
        <x:v>0</x:v>
      </x:c>
      <x:c r="I24" s="18" t="n">
        <x:f>SUMIFS('1_店铺账单明细'!$H:$H,'1_店铺账单明细'!$A:$A,$A24,'1_店铺账单明细'!$C:$C,"人工")</x:f>
        <x:v>0</x:v>
      </x:c>
      <x:c r="J24" s="18" t="n">
        <x:f>SUMIFS('1_店铺账单明细'!$H:$H,'1_店铺账单明细'!$A:$A,$A24,'1_店铺账单明细'!$C:$C,"房租")</x:f>
        <x:v>0</x:v>
      </x:c>
      <x:c r="K24" s="18" t="n">
        <x:f>SUMIFS('1_店铺账单明细'!$H:$H,'1_店铺账单明细'!$A:$A,$A24,'1_店铺账单明细'!$C:$C,"水电")</x:f>
        <x:v>0</x:v>
      </x:c>
      <x:c r="L24" s="18" t="n">
        <x:f>SUMIFS('1_店铺账单明细'!$H:$H,'1_店铺账单明细'!$A:$A,$A24,'1_店铺账单明细'!$C:$C,"营销")</x:f>
        <x:v>0</x:v>
      </x:c>
      <x:c r="M24" s="18" t="n">
        <x:f>SUMIFS('1_店铺账单明细'!$H:$H,'1_店铺账单明细'!$A:$A,$A24)-SUM(H24:L24)</x:f>
        <x:v>0</x:v>
      </x:c>
      <x:c r="N24" s="18" t="n">
        <x:f>SUM(H24:M24)</x:f>
        <x:v>0</x:v>
      </x:c>
      <x:c r="O24" s="18" t="n">
        <x:f>G24-N24</x:f>
        <x:v>0</x:v>
      </x:c>
      <x:c r="P24" s="24"/>
      <x:c r="Q24" s="18" t="str">
        <x:f>IFERROR(G24/P24,"")</x:f>
      </x:c>
      <x:c r="R24" s="17" t="str"/>
    </x:row>
    <x:row r="25">
      <x:c r="A25" s="16" t="n">
        <x:v>46227</x:v>
      </x:c>
      <x:c r="B25" s="17" t="str">
        <x:f>CHOOSE(WEEKDAY(A25,2),"一","二","三","四","五","六","日")</x:f>
        <x:v>五</x:v>
      </x:c>
      <x:c r="C25" s="17" t="n">
        <x:v>24</x:v>
      </x:c>
      <x:c r="D25" s="18" t="n">
        <x:f>SUMIFS('1_店铺账单明细'!$G:$G,'1_店铺账单明细'!$A:$A,$A25,'1_店铺账单明细'!$C:$C,"收入",'1_店铺账单明细'!$D:$D,"客如云/收银")</x:f>
        <x:v>0</x:v>
      </x:c>
      <x:c r="E25" s="18" t="n">
        <x:f>SUMIFS('1_店铺账单明细'!$G:$G,'1_店铺账单明细'!$A:$A,$A25,'1_店铺账单明细'!$C:$C,"收入",'1_店铺账单明细'!$D:$D,"美团")+SUMIFS('1_店铺账单明细'!$G:$G,'1_店铺账单明细'!$A:$A,$A25,'1_店铺账单明细'!$C:$C,"收入",'1_店铺账单明细'!$D:$D,"淘宝闪购")</x:f>
        <x:v>0</x:v>
      </x:c>
      <x:c r="F25" s="18" t="n">
        <x:f>SUMIFS('1_店铺账单明细'!$G:$G,'1_店铺账单明细'!$A:$A,$A25,'1_店铺账单明细'!$C:$C,"收入")-D25-E25</x:f>
        <x:v>0</x:v>
      </x:c>
      <x:c r="G25" s="18" t="n">
        <x:f>SUM(D25:F25)</x:f>
        <x:v>0</x:v>
      </x:c>
      <x:c r="H25" s="18" t="n">
        <x:f>SUMIFS('1_店铺账单明细'!$H:$H,'1_店铺账单明细'!$A:$A,$A25,'1_店铺账单明细'!$C:$C,"进货成本")</x:f>
        <x:v>0</x:v>
      </x:c>
      <x:c r="I25" s="18" t="n">
        <x:f>SUMIFS('1_店铺账单明细'!$H:$H,'1_店铺账单明细'!$A:$A,$A25,'1_店铺账单明细'!$C:$C,"人工")</x:f>
        <x:v>0</x:v>
      </x:c>
      <x:c r="J25" s="18" t="n">
        <x:f>SUMIFS('1_店铺账单明细'!$H:$H,'1_店铺账单明细'!$A:$A,$A25,'1_店铺账单明细'!$C:$C,"房租")</x:f>
        <x:v>0</x:v>
      </x:c>
      <x:c r="K25" s="18" t="n">
        <x:f>SUMIFS('1_店铺账单明细'!$H:$H,'1_店铺账单明细'!$A:$A,$A25,'1_店铺账单明细'!$C:$C,"水电")</x:f>
        <x:v>0</x:v>
      </x:c>
      <x:c r="L25" s="18" t="n">
        <x:f>SUMIFS('1_店铺账单明细'!$H:$H,'1_店铺账单明细'!$A:$A,$A25,'1_店铺账单明细'!$C:$C,"营销")</x:f>
        <x:v>0</x:v>
      </x:c>
      <x:c r="M25" s="18" t="n">
        <x:f>SUMIFS('1_店铺账单明细'!$H:$H,'1_店铺账单明细'!$A:$A,$A25)-SUM(H25:L25)</x:f>
        <x:v>0</x:v>
      </x:c>
      <x:c r="N25" s="18" t="n">
        <x:f>SUM(H25:M25)</x:f>
        <x:v>0</x:v>
      </x:c>
      <x:c r="O25" s="18" t="n">
        <x:f>G25-N25</x:f>
        <x:v>0</x:v>
      </x:c>
      <x:c r="P25" s="24"/>
      <x:c r="Q25" s="18" t="str">
        <x:f>IFERROR(G25/P25,"")</x:f>
      </x:c>
      <x:c r="R25" s="17" t="str"/>
    </x:row>
    <x:row r="26">
      <x:c r="A26" s="16" t="n">
        <x:v>46228</x:v>
      </x:c>
      <x:c r="B26" s="17" t="str">
        <x:f>CHOOSE(WEEKDAY(A26,2),"一","二","三","四","五","六","日")</x:f>
        <x:v>六</x:v>
      </x:c>
      <x:c r="C26" s="17" t="n">
        <x:v>25</x:v>
      </x:c>
      <x:c r="D26" s="18" t="n">
        <x:f>SUMIFS('1_店铺账单明细'!$G:$G,'1_店铺账单明细'!$A:$A,$A26,'1_店铺账单明细'!$C:$C,"收入",'1_店铺账单明细'!$D:$D,"客如云/收银")</x:f>
        <x:v>0</x:v>
      </x:c>
      <x:c r="E26" s="18" t="n">
        <x:f>SUMIFS('1_店铺账单明细'!$G:$G,'1_店铺账单明细'!$A:$A,$A26,'1_店铺账单明细'!$C:$C,"收入",'1_店铺账单明细'!$D:$D,"美团")+SUMIFS('1_店铺账单明细'!$G:$G,'1_店铺账单明细'!$A:$A,$A26,'1_店铺账单明细'!$C:$C,"收入",'1_店铺账单明细'!$D:$D,"淘宝闪购")</x:f>
        <x:v>0</x:v>
      </x:c>
      <x:c r="F26" s="18" t="n">
        <x:f>SUMIFS('1_店铺账单明细'!$G:$G,'1_店铺账单明细'!$A:$A,$A26,'1_店铺账单明细'!$C:$C,"收入")-D26-E26</x:f>
        <x:v>0</x:v>
      </x:c>
      <x:c r="G26" s="18" t="n">
        <x:f>SUM(D26:F26)</x:f>
        <x:v>0</x:v>
      </x:c>
      <x:c r="H26" s="18" t="n">
        <x:f>SUMIFS('1_店铺账单明细'!$H:$H,'1_店铺账单明细'!$A:$A,$A26,'1_店铺账单明细'!$C:$C,"进货成本")</x:f>
        <x:v>0</x:v>
      </x:c>
      <x:c r="I26" s="18" t="n">
        <x:f>SUMIFS('1_店铺账单明细'!$H:$H,'1_店铺账单明细'!$A:$A,$A26,'1_店铺账单明细'!$C:$C,"人工")</x:f>
        <x:v>0</x:v>
      </x:c>
      <x:c r="J26" s="18" t="n">
        <x:f>SUMIFS('1_店铺账单明细'!$H:$H,'1_店铺账单明细'!$A:$A,$A26,'1_店铺账单明细'!$C:$C,"房租")</x:f>
        <x:v>0</x:v>
      </x:c>
      <x:c r="K26" s="18" t="n">
        <x:f>SUMIFS('1_店铺账单明细'!$H:$H,'1_店铺账单明细'!$A:$A,$A26,'1_店铺账单明细'!$C:$C,"水电")</x:f>
        <x:v>0</x:v>
      </x:c>
      <x:c r="L26" s="18" t="n">
        <x:f>SUMIFS('1_店铺账单明细'!$H:$H,'1_店铺账单明细'!$A:$A,$A26,'1_店铺账单明细'!$C:$C,"营销")</x:f>
        <x:v>0</x:v>
      </x:c>
      <x:c r="M26" s="18" t="n">
        <x:f>SUMIFS('1_店铺账单明细'!$H:$H,'1_店铺账单明细'!$A:$A,$A26)-SUM(H26:L26)</x:f>
        <x:v>0</x:v>
      </x:c>
      <x:c r="N26" s="18" t="n">
        <x:f>SUM(H26:M26)</x:f>
        <x:v>0</x:v>
      </x:c>
      <x:c r="O26" s="18" t="n">
        <x:f>G26-N26</x:f>
        <x:v>0</x:v>
      </x:c>
      <x:c r="P26" s="24"/>
      <x:c r="Q26" s="18" t="str">
        <x:f>IFERROR(G26/P26,"")</x:f>
      </x:c>
      <x:c r="R26" s="17" t="str"/>
    </x:row>
    <x:row r="27">
      <x:c r="A27" s="16" t="n">
        <x:v>46229</x:v>
      </x:c>
      <x:c r="B27" s="17" t="str">
        <x:f>CHOOSE(WEEKDAY(A27,2),"一","二","三","四","五","六","日")</x:f>
        <x:v>日</x:v>
      </x:c>
      <x:c r="C27" s="17" t="n">
        <x:v>26</x:v>
      </x:c>
      <x:c r="D27" s="18" t="n">
        <x:f>SUMIFS('1_店铺账单明细'!$G:$G,'1_店铺账单明细'!$A:$A,$A27,'1_店铺账单明细'!$C:$C,"收入",'1_店铺账单明细'!$D:$D,"客如云/收银")</x:f>
        <x:v>0</x:v>
      </x:c>
      <x:c r="E27" s="18" t="n">
        <x:f>SUMIFS('1_店铺账单明细'!$G:$G,'1_店铺账单明细'!$A:$A,$A27,'1_店铺账单明细'!$C:$C,"收入",'1_店铺账单明细'!$D:$D,"美团")+SUMIFS('1_店铺账单明细'!$G:$G,'1_店铺账单明细'!$A:$A,$A27,'1_店铺账单明细'!$C:$C,"收入",'1_店铺账单明细'!$D:$D,"淘宝闪购")</x:f>
        <x:v>0</x:v>
      </x:c>
      <x:c r="F27" s="18" t="n">
        <x:f>SUMIFS('1_店铺账单明细'!$G:$G,'1_店铺账单明细'!$A:$A,$A27,'1_店铺账单明细'!$C:$C,"收入")-D27-E27</x:f>
        <x:v>0</x:v>
      </x:c>
      <x:c r="G27" s="18" t="n">
        <x:f>SUM(D27:F27)</x:f>
        <x:v>0</x:v>
      </x:c>
      <x:c r="H27" s="18" t="n">
        <x:f>SUMIFS('1_店铺账单明细'!$H:$H,'1_店铺账单明细'!$A:$A,$A27,'1_店铺账单明细'!$C:$C,"进货成本")</x:f>
        <x:v>0</x:v>
      </x:c>
      <x:c r="I27" s="18" t="n">
        <x:f>SUMIFS('1_店铺账单明细'!$H:$H,'1_店铺账单明细'!$A:$A,$A27,'1_店铺账单明细'!$C:$C,"人工")</x:f>
        <x:v>0</x:v>
      </x:c>
      <x:c r="J27" s="18" t="n">
        <x:f>SUMIFS('1_店铺账单明细'!$H:$H,'1_店铺账单明细'!$A:$A,$A27,'1_店铺账单明细'!$C:$C,"房租")</x:f>
        <x:v>0</x:v>
      </x:c>
      <x:c r="K27" s="18" t="n">
        <x:f>SUMIFS('1_店铺账单明细'!$H:$H,'1_店铺账单明细'!$A:$A,$A27,'1_店铺账单明细'!$C:$C,"水电")</x:f>
        <x:v>0</x:v>
      </x:c>
      <x:c r="L27" s="18" t="n">
        <x:f>SUMIFS('1_店铺账单明细'!$H:$H,'1_店铺账单明细'!$A:$A,$A27,'1_店铺账单明细'!$C:$C,"营销")</x:f>
        <x:v>0</x:v>
      </x:c>
      <x:c r="M27" s="18" t="n">
        <x:f>SUMIFS('1_店铺账单明细'!$H:$H,'1_店铺账单明细'!$A:$A,$A27)-SUM(H27:L27)</x:f>
        <x:v>0</x:v>
      </x:c>
      <x:c r="N27" s="18" t="n">
        <x:f>SUM(H27:M27)</x:f>
        <x:v>0</x:v>
      </x:c>
      <x:c r="O27" s="18" t="n">
        <x:f>G27-N27</x:f>
        <x:v>0</x:v>
      </x:c>
      <x:c r="P27" s="24"/>
      <x:c r="Q27" s="18" t="str">
        <x:f>IFERROR(G27/P27,"")</x:f>
      </x:c>
      <x:c r="R27" s="17" t="str"/>
    </x:row>
    <x:row r="28">
      <x:c r="A28" s="16" t="n">
        <x:v>46230</x:v>
      </x:c>
      <x:c r="B28" s="17" t="str">
        <x:f>CHOOSE(WEEKDAY(A28,2),"一","二","三","四","五","六","日")</x:f>
        <x:v>一</x:v>
      </x:c>
      <x:c r="C28" s="17" t="n">
        <x:v>27</x:v>
      </x:c>
      <x:c r="D28" s="18" t="n">
        <x:f>SUMIFS('1_店铺账单明细'!$G:$G,'1_店铺账单明细'!$A:$A,$A28,'1_店铺账单明细'!$C:$C,"收入",'1_店铺账单明细'!$D:$D,"客如云/收银")</x:f>
        <x:v>0</x:v>
      </x:c>
      <x:c r="E28" s="18" t="n">
        <x:f>SUMIFS('1_店铺账单明细'!$G:$G,'1_店铺账单明细'!$A:$A,$A28,'1_店铺账单明细'!$C:$C,"收入",'1_店铺账单明细'!$D:$D,"美团")+SUMIFS('1_店铺账单明细'!$G:$G,'1_店铺账单明细'!$A:$A,$A28,'1_店铺账单明细'!$C:$C,"收入",'1_店铺账单明细'!$D:$D,"淘宝闪购")</x:f>
        <x:v>0</x:v>
      </x:c>
      <x:c r="F28" s="18" t="n">
        <x:f>SUMIFS('1_店铺账单明细'!$G:$G,'1_店铺账单明细'!$A:$A,$A28,'1_店铺账单明细'!$C:$C,"收入")-D28-E28</x:f>
        <x:v>0</x:v>
      </x:c>
      <x:c r="G28" s="18" t="n">
        <x:f>SUM(D28:F28)</x:f>
        <x:v>0</x:v>
      </x:c>
      <x:c r="H28" s="18" t="n">
        <x:f>SUMIFS('1_店铺账单明细'!$H:$H,'1_店铺账单明细'!$A:$A,$A28,'1_店铺账单明细'!$C:$C,"进货成本")</x:f>
        <x:v>0</x:v>
      </x:c>
      <x:c r="I28" s="18" t="n">
        <x:f>SUMIFS('1_店铺账单明细'!$H:$H,'1_店铺账单明细'!$A:$A,$A28,'1_店铺账单明细'!$C:$C,"人工")</x:f>
        <x:v>0</x:v>
      </x:c>
      <x:c r="J28" s="18" t="n">
        <x:f>SUMIFS('1_店铺账单明细'!$H:$H,'1_店铺账单明细'!$A:$A,$A28,'1_店铺账单明细'!$C:$C,"房租")</x:f>
        <x:v>0</x:v>
      </x:c>
      <x:c r="K28" s="18" t="n">
        <x:f>SUMIFS('1_店铺账单明细'!$H:$H,'1_店铺账单明细'!$A:$A,$A28,'1_店铺账单明细'!$C:$C,"水电")</x:f>
        <x:v>0</x:v>
      </x:c>
      <x:c r="L28" s="18" t="n">
        <x:f>SUMIFS('1_店铺账单明细'!$H:$H,'1_店铺账单明细'!$A:$A,$A28,'1_店铺账单明细'!$C:$C,"营销")</x:f>
        <x:v>0</x:v>
      </x:c>
      <x:c r="M28" s="18" t="n">
        <x:f>SUMIFS('1_店铺账单明细'!$H:$H,'1_店铺账单明细'!$A:$A,$A28)-SUM(H28:L28)</x:f>
        <x:v>0</x:v>
      </x:c>
      <x:c r="N28" s="18" t="n">
        <x:f>SUM(H28:M28)</x:f>
        <x:v>0</x:v>
      </x:c>
      <x:c r="O28" s="18" t="n">
        <x:f>G28-N28</x:f>
        <x:v>0</x:v>
      </x:c>
      <x:c r="P28" s="24"/>
      <x:c r="Q28" s="18" t="str">
        <x:f>IFERROR(G28/P28,"")</x:f>
      </x:c>
      <x:c r="R28" s="17" t="str"/>
    </x:row>
    <x:row r="29">
      <x:c r="A29" s="16" t="n">
        <x:v>46231</x:v>
      </x:c>
      <x:c r="B29" s="17" t="str">
        <x:f>CHOOSE(WEEKDAY(A29,2),"一","二","三","四","五","六","日")</x:f>
        <x:v>二</x:v>
      </x:c>
      <x:c r="C29" s="17" t="n">
        <x:v>28</x:v>
      </x:c>
      <x:c r="D29" s="18" t="n">
        <x:f>SUMIFS('1_店铺账单明细'!$G:$G,'1_店铺账单明细'!$A:$A,$A29,'1_店铺账单明细'!$C:$C,"收入",'1_店铺账单明细'!$D:$D,"客如云/收银")</x:f>
        <x:v>0</x:v>
      </x:c>
      <x:c r="E29" s="18" t="n">
        <x:f>SUMIFS('1_店铺账单明细'!$G:$G,'1_店铺账单明细'!$A:$A,$A29,'1_店铺账单明细'!$C:$C,"收入",'1_店铺账单明细'!$D:$D,"美团")+SUMIFS('1_店铺账单明细'!$G:$G,'1_店铺账单明细'!$A:$A,$A29,'1_店铺账单明细'!$C:$C,"收入",'1_店铺账单明细'!$D:$D,"淘宝闪购")</x:f>
        <x:v>0</x:v>
      </x:c>
      <x:c r="F29" s="18" t="n">
        <x:f>SUMIFS('1_店铺账单明细'!$G:$G,'1_店铺账单明细'!$A:$A,$A29,'1_店铺账单明细'!$C:$C,"收入")-D29-E29</x:f>
        <x:v>0</x:v>
      </x:c>
      <x:c r="G29" s="18" t="n">
        <x:f>SUM(D29:F29)</x:f>
        <x:v>0</x:v>
      </x:c>
      <x:c r="H29" s="18" t="n">
        <x:f>SUMIFS('1_店铺账单明细'!$H:$H,'1_店铺账单明细'!$A:$A,$A29,'1_店铺账单明细'!$C:$C,"进货成本")</x:f>
        <x:v>0</x:v>
      </x:c>
      <x:c r="I29" s="18" t="n">
        <x:f>SUMIFS('1_店铺账单明细'!$H:$H,'1_店铺账单明细'!$A:$A,$A29,'1_店铺账单明细'!$C:$C,"人工")</x:f>
        <x:v>0</x:v>
      </x:c>
      <x:c r="J29" s="18" t="n">
        <x:f>SUMIFS('1_店铺账单明细'!$H:$H,'1_店铺账单明细'!$A:$A,$A29,'1_店铺账单明细'!$C:$C,"房租")</x:f>
        <x:v>0</x:v>
      </x:c>
      <x:c r="K29" s="18" t="n">
        <x:f>SUMIFS('1_店铺账单明细'!$H:$H,'1_店铺账单明细'!$A:$A,$A29,'1_店铺账单明细'!$C:$C,"水电")</x:f>
        <x:v>0</x:v>
      </x:c>
      <x:c r="L29" s="18" t="n">
        <x:f>SUMIFS('1_店铺账单明细'!$H:$H,'1_店铺账单明细'!$A:$A,$A29,'1_店铺账单明细'!$C:$C,"营销")</x:f>
        <x:v>0</x:v>
      </x:c>
      <x:c r="M29" s="18" t="n">
        <x:f>SUMIFS('1_店铺账单明细'!$H:$H,'1_店铺账单明细'!$A:$A,$A29)-SUM(H29:L29)</x:f>
        <x:v>0</x:v>
      </x:c>
      <x:c r="N29" s="18" t="n">
        <x:f>SUM(H29:M29)</x:f>
        <x:v>0</x:v>
      </x:c>
      <x:c r="O29" s="18" t="n">
        <x:f>G29-N29</x:f>
        <x:v>0</x:v>
      </x:c>
      <x:c r="P29" s="24"/>
      <x:c r="Q29" s="18" t="str">
        <x:f>IFERROR(G29/P29,"")</x:f>
      </x:c>
      <x:c r="R29" s="17" t="str"/>
    </x:row>
    <x:row r="30">
      <x:c r="A30" s="16" t="n">
        <x:v>46232</x:v>
      </x:c>
      <x:c r="B30" s="17" t="str">
        <x:f>CHOOSE(WEEKDAY(A30,2),"一","二","三","四","五","六","日")</x:f>
        <x:v>三</x:v>
      </x:c>
      <x:c r="C30" s="17" t="n">
        <x:v>29</x:v>
      </x:c>
      <x:c r="D30" s="18" t="n">
        <x:f>SUMIFS('1_店铺账单明细'!$G:$G,'1_店铺账单明细'!$A:$A,$A30,'1_店铺账单明细'!$C:$C,"收入",'1_店铺账单明细'!$D:$D,"客如云/收银")</x:f>
        <x:v>0</x:v>
      </x:c>
      <x:c r="E30" s="18" t="n">
        <x:f>SUMIFS('1_店铺账单明细'!$G:$G,'1_店铺账单明细'!$A:$A,$A30,'1_店铺账单明细'!$C:$C,"收入",'1_店铺账单明细'!$D:$D,"美团")+SUMIFS('1_店铺账单明细'!$G:$G,'1_店铺账单明细'!$A:$A,$A30,'1_店铺账单明细'!$C:$C,"收入",'1_店铺账单明细'!$D:$D,"淘宝闪购")</x:f>
        <x:v>0</x:v>
      </x:c>
      <x:c r="F30" s="18" t="n">
        <x:f>SUMIFS('1_店铺账单明细'!$G:$G,'1_店铺账单明细'!$A:$A,$A30,'1_店铺账单明细'!$C:$C,"收入")-D30-E30</x:f>
        <x:v>0</x:v>
      </x:c>
      <x:c r="G30" s="18" t="n">
        <x:f>SUM(D30:F30)</x:f>
        <x:v>0</x:v>
      </x:c>
      <x:c r="H30" s="18" t="n">
        <x:f>SUMIFS('1_店铺账单明细'!$H:$H,'1_店铺账单明细'!$A:$A,$A30,'1_店铺账单明细'!$C:$C,"进货成本")</x:f>
        <x:v>0</x:v>
      </x:c>
      <x:c r="I30" s="18" t="n">
        <x:f>SUMIFS('1_店铺账单明细'!$H:$H,'1_店铺账单明细'!$A:$A,$A30,'1_店铺账单明细'!$C:$C,"人工")</x:f>
        <x:v>0</x:v>
      </x:c>
      <x:c r="J30" s="18" t="n">
        <x:f>SUMIFS('1_店铺账单明细'!$H:$H,'1_店铺账单明细'!$A:$A,$A30,'1_店铺账单明细'!$C:$C,"房租")</x:f>
        <x:v>0</x:v>
      </x:c>
      <x:c r="K30" s="18" t="n">
        <x:f>SUMIFS('1_店铺账单明细'!$H:$H,'1_店铺账单明细'!$A:$A,$A30,'1_店铺账单明细'!$C:$C,"水电")</x:f>
        <x:v>0</x:v>
      </x:c>
      <x:c r="L30" s="18" t="n">
        <x:f>SUMIFS('1_店铺账单明细'!$H:$H,'1_店铺账单明细'!$A:$A,$A30,'1_店铺账单明细'!$C:$C,"营销")</x:f>
        <x:v>0</x:v>
      </x:c>
      <x:c r="M30" s="18" t="n">
        <x:f>SUMIFS('1_店铺账单明细'!$H:$H,'1_店铺账单明细'!$A:$A,$A30)-SUM(H30:L30)</x:f>
        <x:v>0</x:v>
      </x:c>
      <x:c r="N30" s="18" t="n">
        <x:f>SUM(H30:M30)</x:f>
        <x:v>0</x:v>
      </x:c>
      <x:c r="O30" s="18" t="n">
        <x:f>G30-N30</x:f>
        <x:v>0</x:v>
      </x:c>
      <x:c r="P30" s="24"/>
      <x:c r="Q30" s="18" t="str">
        <x:f>IFERROR(G30/P30,"")</x:f>
      </x:c>
      <x:c r="R30" s="17" t="str"/>
    </x:row>
    <x:row r="31">
      <x:c r="A31" s="16" t="n">
        <x:v>46233</x:v>
      </x:c>
      <x:c r="B31" s="17" t="str">
        <x:f>CHOOSE(WEEKDAY(A31,2),"一","二","三","四","五","六","日")</x:f>
        <x:v>四</x:v>
      </x:c>
      <x:c r="C31" s="17" t="n">
        <x:v>30</x:v>
      </x:c>
      <x:c r="D31" s="18" t="n">
        <x:f>SUMIFS('1_店铺账单明细'!$G:$G,'1_店铺账单明细'!$A:$A,$A31,'1_店铺账单明细'!$C:$C,"收入",'1_店铺账单明细'!$D:$D,"客如云/收银")</x:f>
        <x:v>0</x:v>
      </x:c>
      <x:c r="E31" s="18" t="n">
        <x:f>SUMIFS('1_店铺账单明细'!$G:$G,'1_店铺账单明细'!$A:$A,$A31,'1_店铺账单明细'!$C:$C,"收入",'1_店铺账单明细'!$D:$D,"美团")+SUMIFS('1_店铺账单明细'!$G:$G,'1_店铺账单明细'!$A:$A,$A31,'1_店铺账单明细'!$C:$C,"收入",'1_店铺账单明细'!$D:$D,"淘宝闪购")</x:f>
        <x:v>0</x:v>
      </x:c>
      <x:c r="F31" s="18" t="n">
        <x:f>SUMIFS('1_店铺账单明细'!$G:$G,'1_店铺账单明细'!$A:$A,$A31,'1_店铺账单明细'!$C:$C,"收入")-D31-E31</x:f>
        <x:v>0</x:v>
      </x:c>
      <x:c r="G31" s="18" t="n">
        <x:f>SUM(D31:F31)</x:f>
        <x:v>0</x:v>
      </x:c>
      <x:c r="H31" s="18" t="n">
        <x:f>SUMIFS('1_店铺账单明细'!$H:$H,'1_店铺账单明细'!$A:$A,$A31,'1_店铺账单明细'!$C:$C,"进货成本")</x:f>
        <x:v>0</x:v>
      </x:c>
      <x:c r="I31" s="18" t="n">
        <x:f>SUMIFS('1_店铺账单明细'!$H:$H,'1_店铺账单明细'!$A:$A,$A31,'1_店铺账单明细'!$C:$C,"人工")</x:f>
        <x:v>0</x:v>
      </x:c>
      <x:c r="J31" s="18" t="n">
        <x:f>SUMIFS('1_店铺账单明细'!$H:$H,'1_店铺账单明细'!$A:$A,$A31,'1_店铺账单明细'!$C:$C,"房租")</x:f>
        <x:v>0</x:v>
      </x:c>
      <x:c r="K31" s="18" t="n">
        <x:f>SUMIFS('1_店铺账单明细'!$H:$H,'1_店铺账单明细'!$A:$A,$A31,'1_店铺账单明细'!$C:$C,"水电")</x:f>
        <x:v>0</x:v>
      </x:c>
      <x:c r="L31" s="18" t="n">
        <x:f>SUMIFS('1_店铺账单明细'!$H:$H,'1_店铺账单明细'!$A:$A,$A31,'1_店铺账单明细'!$C:$C,"营销")</x:f>
        <x:v>0</x:v>
      </x:c>
      <x:c r="M31" s="18" t="n">
        <x:f>SUMIFS('1_店铺账单明细'!$H:$H,'1_店铺账单明细'!$A:$A,$A31)-SUM(H31:L31)</x:f>
        <x:v>0</x:v>
      </x:c>
      <x:c r="N31" s="18" t="n">
        <x:f>SUM(H31:M31)</x:f>
        <x:v>0</x:v>
      </x:c>
      <x:c r="O31" s="18" t="n">
        <x:f>G31-N31</x:f>
        <x:v>0</x:v>
      </x:c>
      <x:c r="P31" s="24"/>
      <x:c r="Q31" s="18" t="str">
        <x:f>IFERROR(G31/P31,"")</x:f>
      </x:c>
      <x:c r="R31" s="17" t="str"/>
    </x:row>
    <x:row r="32">
      <x:c r="A32" s="16" t="n">
        <x:v>46234</x:v>
      </x:c>
      <x:c r="B32" s="17" t="str">
        <x:f>CHOOSE(WEEKDAY(A32,2),"一","二","三","四","五","六","日")</x:f>
        <x:v>五</x:v>
      </x:c>
      <x:c r="C32" s="17" t="n">
        <x:v>31</x:v>
      </x:c>
      <x:c r="D32" s="18" t="n">
        <x:f>SUMIFS('1_店铺账单明细'!$G:$G,'1_店铺账单明细'!$A:$A,$A32,'1_店铺账单明细'!$C:$C,"收入",'1_店铺账单明细'!$D:$D,"客如云/收银")</x:f>
        <x:v>0</x:v>
      </x:c>
      <x:c r="E32" s="18" t="n">
        <x:f>SUMIFS('1_店铺账单明细'!$G:$G,'1_店铺账单明细'!$A:$A,$A32,'1_店铺账单明细'!$C:$C,"收入",'1_店铺账单明细'!$D:$D,"美团")+SUMIFS('1_店铺账单明细'!$G:$G,'1_店铺账单明细'!$A:$A,$A32,'1_店铺账单明细'!$C:$C,"收入",'1_店铺账单明细'!$D:$D,"淘宝闪购")</x:f>
        <x:v>0</x:v>
      </x:c>
      <x:c r="F32" s="18" t="n">
        <x:f>SUMIFS('1_店铺账单明细'!$G:$G,'1_店铺账单明细'!$A:$A,$A32,'1_店铺账单明细'!$C:$C,"收入")-D32-E32</x:f>
        <x:v>0</x:v>
      </x:c>
      <x:c r="G32" s="18" t="n">
        <x:f>SUM(D32:F32)</x:f>
        <x:v>0</x:v>
      </x:c>
      <x:c r="H32" s="18" t="n">
        <x:f>SUMIFS('1_店铺账单明细'!$H:$H,'1_店铺账单明细'!$A:$A,$A32,'1_店铺账单明细'!$C:$C,"进货成本")</x:f>
        <x:v>0</x:v>
      </x:c>
      <x:c r="I32" s="18" t="n">
        <x:f>SUMIFS('1_店铺账单明细'!$H:$H,'1_店铺账单明细'!$A:$A,$A32,'1_店铺账单明细'!$C:$C,"人工")</x:f>
        <x:v>0</x:v>
      </x:c>
      <x:c r="J32" s="18" t="n">
        <x:f>SUMIFS('1_店铺账单明细'!$H:$H,'1_店铺账单明细'!$A:$A,$A32,'1_店铺账单明细'!$C:$C,"房租")</x:f>
        <x:v>0</x:v>
      </x:c>
      <x:c r="K32" s="18" t="n">
        <x:f>SUMIFS('1_店铺账单明细'!$H:$H,'1_店铺账单明细'!$A:$A,$A32,'1_店铺账单明细'!$C:$C,"水电")</x:f>
        <x:v>0</x:v>
      </x:c>
      <x:c r="L32" s="18" t="n">
        <x:f>SUMIFS('1_店铺账单明细'!$H:$H,'1_店铺账单明细'!$A:$A,$A32,'1_店铺账单明细'!$C:$C,"营销")</x:f>
        <x:v>0</x:v>
      </x:c>
      <x:c r="M32" s="18" t="n">
        <x:f>SUMIFS('1_店铺账单明细'!$H:$H,'1_店铺账单明细'!$A:$A,$A32)-SUM(H32:L32)</x:f>
        <x:v>0</x:v>
      </x:c>
      <x:c r="N32" s="18" t="n">
        <x:f>SUM(H32:M32)</x:f>
        <x:v>0</x:v>
      </x:c>
      <x:c r="O32" s="18" t="n">
        <x:f>G32-N32</x:f>
        <x:v>0</x:v>
      </x:c>
      <x:c r="P32" s="24"/>
      <x:c r="Q32" s="18" t="str">
        <x:f>IFERROR(G32/P32,"")</x:f>
      </x:c>
      <x:c r="R32" s="17" t="str"/>
    </x:row>
  </x:sheetData>
  <x:conditionalFormatting sqref="O2:O32">
    <x:cfRule type="expression" dxfId="2" priority="1">
      <x:formula>O2&lt;0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ee89edc04649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8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0" hidden="0" customWidth="1"/>
    <x:col min="17" max="17" width="12" hidden="0" customWidth="1"/>
    <x:col min="18" max="18" width="10" hidden="0" customWidth="1"/>
    <x:col min="19" max="19" width="14" hidden="0" customWidth="1"/>
    <x:col min="20" max="20" width="24" hidden="0" customWidth="1"/>
  </x:cols>
  <x:sheetData>
    <x:row r="1" ht="28" customHeight="1">
      <x:c r="A1" s="10" t="str">
        <x:v>SKU/物品</x:v>
      </x:c>
      <x:c r="B1" s="10" t="str">
        <x:v>分类</x:v>
      </x:c>
      <x:c r="C1" s="10" t="str">
        <x:v>单位</x:v>
      </x:c>
      <x:c r="D1" s="10" t="str">
        <x:v>供应商</x:v>
      </x:c>
      <x:c r="E1" s="10" t="str">
        <x:v>期初库存</x:v>
      </x:c>
      <x:c r="F1" s="10" t="str">
        <x:v>本期入库</x:v>
      </x:c>
      <x:c r="G1" s="10" t="str">
        <x:v>本期出库/消耗</x:v>
      </x:c>
      <x:c r="H1" s="10" t="str">
        <x:v>报损</x:v>
      </x:c>
      <x:c r="I1" s="10" t="str">
        <x:v>盘点库存</x:v>
      </x:c>
      <x:c r="J1" s="10" t="str">
        <x:v>当前库存</x:v>
      </x:c>
      <x:c r="K1" s="10" t="str">
        <x:v>安全库存</x:v>
      </x:c>
      <x:c r="L1" s="10" t="str">
        <x:v>日均用量</x:v>
      </x:c>
      <x:c r="M1" s="10" t="str">
        <x:v>提前期(天)</x:v>
      </x:c>
      <x:c r="N1" s="10" t="str">
        <x:v>再订货点</x:v>
      </x:c>
      <x:c r="O1" s="10" t="str">
        <x:v>建议补货量</x:v>
      </x:c>
      <x:c r="P1" s="10" t="str">
        <x:v>单价</x:v>
      </x:c>
      <x:c r="Q1" s="10" t="str">
        <x:v>库存金额</x:v>
      </x:c>
      <x:c r="R1" s="10" t="str">
        <x:v>可用天数</x:v>
      </x:c>
      <x:c r="S1" s="10" t="str">
        <x:v>状态</x:v>
      </x:c>
      <x:c r="T1" s="10" t="str">
        <x:v>备注</x:v>
      </x:c>
    </x:row>
    <x:row r="2">
      <x:c r="A2" s="17" t="str">
        <x:v>盒子</x:v>
      </x:c>
      <x:c r="B2" s="17" t="str">
        <x:v>包材</x:v>
      </x:c>
      <x:c r="C2" s="17" t="str">
        <x:v>个</x:v>
      </x:c>
      <x:c r="D2" s="17" t="str"/>
      <x:c r="E2" s="32" t="str"/>
      <x:c r="F2" s="32" t="n">
        <x:f>IF(A2="","",SUMIFS('4_进货记录'!$E:$E,'4_进货记录'!$C:$C,A2,'4_进货记录'!$I:$I,"已入库"))</x:f>
        <x:v>0</x:v>
      </x:c>
      <x:c r="G2" s="32" t="str"/>
      <x:c r="H2" s="32" t="n">
        <x:f>IF(A2="","",SUMIFS('5_盘点与报损'!$G:$G,'5_盘点与报损'!$B:$B,A2,'5_盘点与报损'!$C:$C,"报损"))</x:f>
        <x:v>0</x:v>
      </x:c>
      <x:c r="I2" s="32" t="str"/>
      <x:c r="J2" s="32" t="n">
        <x:f>IF(I2&lt;&gt;"",I2,N(E2)+N(F2)-N(G2)-N(H2))</x:f>
        <x:v>0</x:v>
      </x:c>
      <x:c r="K2" s="32" t="n">
        <x:v>50</x:v>
      </x:c>
      <x:c r="L2" s="32" t="n">
        <x:v>20</x:v>
      </x:c>
      <x:c r="M2" s="32" t="n">
        <x:v>2</x:v>
      </x:c>
      <x:c r="N2" s="32" t="n">
        <x:f>N(K2)+N(L2)*N(M2)</x:f>
        <x:v>90</x:v>
      </x:c>
      <x:c r="O2" s="32" t="str">
        <x:f>IF(J2="","",MAX(0,N2-J2))</x:f>
      </x:c>
      <x:c r="P2" s="33"/>
      <x:c r="Q2" s="33" t="str">
        <x:f>IF(J2="","",J2*N(P2))</x:f>
      </x:c>
      <x:c r="R2" s="34" t="n">
        <x:f>IFERROR(J2/L2,"")</x:f>
        <x:v>0</x:v>
      </x:c>
      <x:c r="S2" s="17" t="str">
        <x:f>IF(A2="","",IF(J2&lt;=0,"缺货",IF(J2&lt;=K2,"低于安全库存",IF(J2&lt;=N2,"建议补货","正常"))))</x:f>
        <x:v>缺货</x:v>
      </x:c>
      <x:c r="T2" s="17" t="str"/>
    </x:row>
    <x:row r="3">
      <x:c r="A3" s="17" t="str">
        <x:v>章鱼粒</x:v>
      </x:c>
      <x:c r="B3" s="17" t="str">
        <x:v>原料</x:v>
      </x:c>
      <x:c r="C3" s="17" t="str">
        <x:v>袋</x:v>
      </x:c>
      <x:c r="D3" s="17" t="str"/>
      <x:c r="E3" s="32" t="str"/>
      <x:c r="F3" s="32" t="n">
        <x:f>IF(A3="","",SUMIFS('4_进货记录'!$E:$E,'4_进货记录'!$C:$C,A3,'4_进货记录'!$I:$I,"已入库"))</x:f>
        <x:v>0</x:v>
      </x:c>
      <x:c r="G3" s="32" t="str"/>
      <x:c r="H3" s="32" t="n">
        <x:f>IF(A3="","",SUMIFS('5_盘点与报损'!$G:$G,'5_盘点与报损'!$B:$B,A3,'5_盘点与报损'!$C:$C,"报损"))</x:f>
        <x:v>0</x:v>
      </x:c>
      <x:c r="I3" s="32" t="str"/>
      <x:c r="J3" s="32" t="n">
        <x:f>IF(I3&lt;&gt;"",I3,N(E3)+N(F3)-N(G3)-N(H3))</x:f>
        <x:v>0</x:v>
      </x:c>
      <x:c r="K3" s="32" t="n">
        <x:v>5</x:v>
      </x:c>
      <x:c r="L3" s="32" t="n">
        <x:v>2</x:v>
      </x:c>
      <x:c r="M3" s="32" t="n">
        <x:v>3</x:v>
      </x:c>
      <x:c r="N3" s="32" t="n">
        <x:f>N(K3)+N(L3)*N(M3)</x:f>
        <x:v>11</x:v>
      </x:c>
      <x:c r="O3" s="32" t="str">
        <x:f>IF(J3="","",MAX(0,N3-J3))</x:f>
      </x:c>
      <x:c r="P3" s="33"/>
      <x:c r="Q3" s="33" t="str">
        <x:f>IF(J3="","",J3*N(P3))</x:f>
      </x:c>
      <x:c r="R3" s="34" t="n">
        <x:f>IFERROR(J3/L3,"")</x:f>
        <x:v>0</x:v>
      </x:c>
      <x:c r="S3" s="17" t="str">
        <x:f>IF(A3="","",IF(J3&lt;=0,"缺货",IF(J3&lt;=K3,"低于安全库存",IF(J3&lt;=N3,"建议补货","正常"))))</x:f>
        <x:v>缺货</x:v>
      </x:c>
      <x:c r="T3" s="17" t="str"/>
    </x:row>
    <x:row r="4">
      <x:c r="A4" s="17" t="str">
        <x:v>竹签</x:v>
      </x:c>
      <x:c r="B4" s="17" t="str">
        <x:v>耗材</x:v>
      </x:c>
      <x:c r="C4" s="17" t="str">
        <x:v>包</x:v>
      </x:c>
      <x:c r="D4" s="17" t="str"/>
      <x:c r="E4" s="32" t="str"/>
      <x:c r="F4" s="32" t="n">
        <x:f>IF(A4="","",SUMIFS('4_进货记录'!$E:$E,'4_进货记录'!$C:$C,A4,'4_进货记录'!$I:$I,"已入库"))</x:f>
        <x:v>0</x:v>
      </x:c>
      <x:c r="G4" s="32" t="str"/>
      <x:c r="H4" s="32" t="n">
        <x:f>IF(A4="","",SUMIFS('5_盘点与报损'!$G:$G,'5_盘点与报损'!$B:$B,A4,'5_盘点与报损'!$C:$C,"报损"))</x:f>
        <x:v>0</x:v>
      </x:c>
      <x:c r="I4" s="32" t="str"/>
      <x:c r="J4" s="32" t="n">
        <x:f>IF(I4&lt;&gt;"",I4,N(E4)+N(F4)-N(G4)-N(H4))</x:f>
        <x:v>0</x:v>
      </x:c>
      <x:c r="K4" s="32" t="n">
        <x:v>10</x:v>
      </x:c>
      <x:c r="L4" s="32" t="n">
        <x:v>1</x:v>
      </x:c>
      <x:c r="M4" s="32" t="n">
        <x:v>3</x:v>
      </x:c>
      <x:c r="N4" s="32" t="n">
        <x:f>N(K4)+N(L4)*N(M4)</x:f>
        <x:v>13</x:v>
      </x:c>
      <x:c r="O4" s="32" t="str">
        <x:f>IF(J4="","",MAX(0,N4-J4))</x:f>
      </x:c>
      <x:c r="P4" s="33"/>
      <x:c r="Q4" s="33" t="str">
        <x:f>IF(J4="","",J4*N(P4))</x:f>
      </x:c>
      <x:c r="R4" s="34" t="n">
        <x:f>IFERROR(J4/L4,"")</x:f>
        <x:v>0</x:v>
      </x:c>
      <x:c r="S4" s="17" t="str">
        <x:f>IF(A4="","",IF(J4&lt;=0,"缺货",IF(J4&lt;=K4,"低于安全库存",IF(J4&lt;=N4,"建议补货","正常"))))</x:f>
        <x:v>缺货</x:v>
      </x:c>
      <x:c r="T4" s="17" t="str"/>
    </x:row>
    <x:row r="5">
      <x:c r="A5" s="17" t="str"/>
      <x:c r="B5" s="17" t="str"/>
      <x:c r="C5" s="17" t="str"/>
      <x:c r="D5" s="17" t="str"/>
      <x:c r="E5" s="32"/>
      <x:c r="F5" s="32" t="str">
        <x:f>IF(A5="","",SUMIFS('4_进货记录'!$E:$E,'4_进货记录'!$C:$C,A5,'4_进货记录'!$I:$I,"已入库"))</x:f>
      </x:c>
      <x:c r="G5" s="32"/>
      <x:c r="H5" s="32" t="str">
        <x:f>IF(A5="","",SUMIFS('5_盘点与报损'!$G:$G,'5_盘点与报损'!$B:$B,A5,'5_盘点与报损'!$C:$C,"报损"))</x:f>
      </x:c>
      <x:c r="I5" s="32"/>
      <x:c r="J5" s="32" t="n">
        <x:f>IF(I5&lt;&gt;"",I5,N(E5)+N(F5)-N(G5)-N(H5))</x:f>
        <x:v>0</x:v>
      </x:c>
      <x:c r="K5" s="32"/>
      <x:c r="L5" s="32"/>
      <x:c r="M5" s="32"/>
      <x:c r="N5" s="32" t="n">
        <x:f>N(K5)+N(L5)*N(M5)</x:f>
        <x:v>0</x:v>
      </x:c>
      <x:c r="O5" s="32" t="str">
        <x:f>IF(J5="","",MAX(0,N5-J5))</x:f>
      </x:c>
      <x:c r="P5" s="33"/>
      <x:c r="Q5" s="33" t="str">
        <x:f>IF(J5="","",J5*N(P5))</x:f>
      </x:c>
      <x:c r="R5" s="34" t="str">
        <x:f>IFERROR(J5/L5,"")</x:f>
      </x:c>
      <x:c r="S5" s="17" t="str">
        <x:f>IF(A5="","",IF(J5&lt;=0,"缺货",IF(J5&lt;=K5,"低于安全库存",IF(J5&lt;=N5,"建议补货","正常"))))</x:f>
      </x:c>
      <x:c r="T5" s="17" t="str"/>
    </x:row>
    <x:row r="6">
      <x:c r="A6" s="17" t="str"/>
      <x:c r="B6" s="17" t="str"/>
      <x:c r="C6" s="17" t="str"/>
      <x:c r="D6" s="17" t="str"/>
      <x:c r="E6" s="32"/>
      <x:c r="F6" s="32" t="str">
        <x:f>IF(A6="","",SUMIFS('4_进货记录'!$E:$E,'4_进货记录'!$C:$C,A6,'4_进货记录'!$I:$I,"已入库"))</x:f>
      </x:c>
      <x:c r="G6" s="32"/>
      <x:c r="H6" s="32" t="str">
        <x:f>IF(A6="","",SUMIFS('5_盘点与报损'!$G:$G,'5_盘点与报损'!$B:$B,A6,'5_盘点与报损'!$C:$C,"报损"))</x:f>
      </x:c>
      <x:c r="I6" s="32"/>
      <x:c r="J6" s="32" t="n">
        <x:f>IF(I6&lt;&gt;"",I6,N(E6)+N(F6)-N(G6)-N(H6))</x:f>
        <x:v>0</x:v>
      </x:c>
      <x:c r="K6" s="32"/>
      <x:c r="L6" s="32"/>
      <x:c r="M6" s="32"/>
      <x:c r="N6" s="32" t="n">
        <x:f>N(K6)+N(L6)*N(M6)</x:f>
        <x:v>0</x:v>
      </x:c>
      <x:c r="O6" s="32" t="str">
        <x:f>IF(J6="","",MAX(0,N6-J6))</x:f>
      </x:c>
      <x:c r="P6" s="33"/>
      <x:c r="Q6" s="33" t="str">
        <x:f>IF(J6="","",J6*N(P6))</x:f>
      </x:c>
      <x:c r="R6" s="34" t="str">
        <x:f>IFERROR(J6/L6,"")</x:f>
      </x:c>
      <x:c r="S6" s="17" t="str">
        <x:f>IF(A6="","",IF(J6&lt;=0,"缺货",IF(J6&lt;=K6,"低于安全库存",IF(J6&lt;=N6,"建议补货","正常"))))</x:f>
      </x:c>
      <x:c r="T6" s="17" t="str"/>
    </x:row>
    <x:row r="7">
      <x:c r="A7" s="17" t="str"/>
      <x:c r="B7" s="17" t="str"/>
      <x:c r="C7" s="17" t="str"/>
      <x:c r="D7" s="17" t="str"/>
      <x:c r="E7" s="32"/>
      <x:c r="F7" s="32" t="str">
        <x:f>IF(A7="","",SUMIFS('4_进货记录'!$E:$E,'4_进货记录'!$C:$C,A7,'4_进货记录'!$I:$I,"已入库"))</x:f>
      </x:c>
      <x:c r="G7" s="32"/>
      <x:c r="H7" s="32" t="str">
        <x:f>IF(A7="","",SUMIFS('5_盘点与报损'!$G:$G,'5_盘点与报损'!$B:$B,A7,'5_盘点与报损'!$C:$C,"报损"))</x:f>
      </x:c>
      <x:c r="I7" s="32"/>
      <x:c r="J7" s="32" t="n">
        <x:f>IF(I7&lt;&gt;"",I7,N(E7)+N(F7)-N(G7)-N(H7))</x:f>
        <x:v>0</x:v>
      </x:c>
      <x:c r="K7" s="32"/>
      <x:c r="L7" s="32"/>
      <x:c r="M7" s="32"/>
      <x:c r="N7" s="32" t="n">
        <x:f>N(K7)+N(L7)*N(M7)</x:f>
        <x:v>0</x:v>
      </x:c>
      <x:c r="O7" s="32" t="str">
        <x:f>IF(J7="","",MAX(0,N7-J7))</x:f>
      </x:c>
      <x:c r="P7" s="33"/>
      <x:c r="Q7" s="33" t="str">
        <x:f>IF(J7="","",J7*N(P7))</x:f>
      </x:c>
      <x:c r="R7" s="34" t="str">
        <x:f>IFERROR(J7/L7,"")</x:f>
      </x:c>
      <x:c r="S7" s="17" t="str">
        <x:f>IF(A7="","",IF(J7&lt;=0,"缺货",IF(J7&lt;=K7,"低于安全库存",IF(J7&lt;=N7,"建议补货","正常"))))</x:f>
      </x:c>
      <x:c r="T7" s="17" t="str"/>
    </x:row>
    <x:row r="8">
      <x:c r="A8" s="17" t="str"/>
      <x:c r="B8" s="17" t="str"/>
      <x:c r="C8" s="17" t="str"/>
      <x:c r="D8" s="17" t="str"/>
      <x:c r="E8" s="32"/>
      <x:c r="F8" s="32" t="str">
        <x:f>IF(A8="","",SUMIFS('4_进货记录'!$E:$E,'4_进货记录'!$C:$C,A8,'4_进货记录'!$I:$I,"已入库"))</x:f>
      </x:c>
      <x:c r="G8" s="32"/>
      <x:c r="H8" s="32" t="str">
        <x:f>IF(A8="","",SUMIFS('5_盘点与报损'!$G:$G,'5_盘点与报损'!$B:$B,A8,'5_盘点与报损'!$C:$C,"报损"))</x:f>
      </x:c>
      <x:c r="I8" s="32"/>
      <x:c r="J8" s="32" t="n">
        <x:f>IF(I8&lt;&gt;"",I8,N(E8)+N(F8)-N(G8)-N(H8))</x:f>
        <x:v>0</x:v>
      </x:c>
      <x:c r="K8" s="32"/>
      <x:c r="L8" s="32"/>
      <x:c r="M8" s="32"/>
      <x:c r="N8" s="32" t="n">
        <x:f>N(K8)+N(L8)*N(M8)</x:f>
        <x:v>0</x:v>
      </x:c>
      <x:c r="O8" s="32" t="str">
        <x:f>IF(J8="","",MAX(0,N8-J8))</x:f>
      </x:c>
      <x:c r="P8" s="33"/>
      <x:c r="Q8" s="33" t="str">
        <x:f>IF(J8="","",J8*N(P8))</x:f>
      </x:c>
      <x:c r="R8" s="34" t="str">
        <x:f>IFERROR(J8/L8,"")</x:f>
      </x:c>
      <x:c r="S8" s="17" t="str">
        <x:f>IF(A8="","",IF(J8&lt;=0,"缺货",IF(J8&lt;=K8,"低于安全库存",IF(J8&lt;=N8,"建议补货","正常"))))</x:f>
      </x:c>
      <x:c r="T8" s="17" t="str"/>
    </x:row>
    <x:row r="9">
      <x:c r="A9" s="17" t="str"/>
      <x:c r="B9" s="17" t="str"/>
      <x:c r="C9" s="17" t="str"/>
      <x:c r="D9" s="17" t="str"/>
      <x:c r="E9" s="32"/>
      <x:c r="F9" s="32" t="str">
        <x:f>IF(A9="","",SUMIFS('4_进货记录'!$E:$E,'4_进货记录'!$C:$C,A9,'4_进货记录'!$I:$I,"已入库"))</x:f>
      </x:c>
      <x:c r="G9" s="32"/>
      <x:c r="H9" s="32" t="str">
        <x:f>IF(A9="","",SUMIFS('5_盘点与报损'!$G:$G,'5_盘点与报损'!$B:$B,A9,'5_盘点与报损'!$C:$C,"报损"))</x:f>
      </x:c>
      <x:c r="I9" s="32"/>
      <x:c r="J9" s="32" t="n">
        <x:f>IF(I9&lt;&gt;"",I9,N(E9)+N(F9)-N(G9)-N(H9))</x:f>
        <x:v>0</x:v>
      </x:c>
      <x:c r="K9" s="32"/>
      <x:c r="L9" s="32"/>
      <x:c r="M9" s="32"/>
      <x:c r="N9" s="32" t="n">
        <x:f>N(K9)+N(L9)*N(M9)</x:f>
        <x:v>0</x:v>
      </x:c>
      <x:c r="O9" s="32" t="str">
        <x:f>IF(J9="","",MAX(0,N9-J9))</x:f>
      </x:c>
      <x:c r="P9" s="33"/>
      <x:c r="Q9" s="33" t="str">
        <x:f>IF(J9="","",J9*N(P9))</x:f>
      </x:c>
      <x:c r="R9" s="34" t="str">
        <x:f>IFERROR(J9/L9,"")</x:f>
      </x:c>
      <x:c r="S9" s="17" t="str">
        <x:f>IF(A9="","",IF(J9&lt;=0,"缺货",IF(J9&lt;=K9,"低于安全库存",IF(J9&lt;=N9,"建议补货","正常"))))</x:f>
      </x:c>
      <x:c r="T9" s="17" t="str"/>
    </x:row>
    <x:row r="10">
      <x:c r="A10" s="17" t="str"/>
      <x:c r="B10" s="17" t="str"/>
      <x:c r="C10" s="17" t="str"/>
      <x:c r="D10" s="17" t="str"/>
      <x:c r="E10" s="32"/>
      <x:c r="F10" s="32" t="str">
        <x:f>IF(A10="","",SUMIFS('4_进货记录'!$E:$E,'4_进货记录'!$C:$C,A10,'4_进货记录'!$I:$I,"已入库"))</x:f>
      </x:c>
      <x:c r="G10" s="32"/>
      <x:c r="H10" s="32" t="str">
        <x:f>IF(A10="","",SUMIFS('5_盘点与报损'!$G:$G,'5_盘点与报损'!$B:$B,A10,'5_盘点与报损'!$C:$C,"报损"))</x:f>
      </x:c>
      <x:c r="I10" s="32"/>
      <x:c r="J10" s="32" t="n">
        <x:f>IF(I10&lt;&gt;"",I10,N(E10)+N(F10)-N(G10)-N(H10))</x:f>
        <x:v>0</x:v>
      </x:c>
      <x:c r="K10" s="32"/>
      <x:c r="L10" s="32"/>
      <x:c r="M10" s="32"/>
      <x:c r="N10" s="32" t="n">
        <x:f>N(K10)+N(L10)*N(M10)</x:f>
        <x:v>0</x:v>
      </x:c>
      <x:c r="O10" s="32" t="str">
        <x:f>IF(J10="","",MAX(0,N10-J10))</x:f>
      </x:c>
      <x:c r="P10" s="33"/>
      <x:c r="Q10" s="33" t="str">
        <x:f>IF(J10="","",J10*N(P10))</x:f>
      </x:c>
      <x:c r="R10" s="34" t="str">
        <x:f>IFERROR(J10/L10,"")</x:f>
      </x:c>
      <x:c r="S10" s="17" t="str">
        <x:f>IF(A10="","",IF(J10&lt;=0,"缺货",IF(J10&lt;=K10,"低于安全库存",IF(J10&lt;=N10,"建议补货","正常"))))</x:f>
      </x:c>
      <x:c r="T10" s="17" t="str"/>
    </x:row>
    <x:row r="11">
      <x:c r="A11" s="17" t="str"/>
      <x:c r="B11" s="17" t="str"/>
      <x:c r="C11" s="17" t="str"/>
      <x:c r="D11" s="17" t="str"/>
      <x:c r="E11" s="32"/>
      <x:c r="F11" s="32" t="str">
        <x:f>IF(A11="","",SUMIFS('4_进货记录'!$E:$E,'4_进货记录'!$C:$C,A11,'4_进货记录'!$I:$I,"已入库"))</x:f>
      </x:c>
      <x:c r="G11" s="32"/>
      <x:c r="H11" s="32" t="str">
        <x:f>IF(A11="","",SUMIFS('5_盘点与报损'!$G:$G,'5_盘点与报损'!$B:$B,A11,'5_盘点与报损'!$C:$C,"报损"))</x:f>
      </x:c>
      <x:c r="I11" s="32"/>
      <x:c r="J11" s="32" t="n">
        <x:f>IF(I11&lt;&gt;"",I11,N(E11)+N(F11)-N(G11)-N(H11))</x:f>
        <x:v>0</x:v>
      </x:c>
      <x:c r="K11" s="32"/>
      <x:c r="L11" s="32"/>
      <x:c r="M11" s="32"/>
      <x:c r="N11" s="32" t="n">
        <x:f>N(K11)+N(L11)*N(M11)</x:f>
        <x:v>0</x:v>
      </x:c>
      <x:c r="O11" s="32" t="str">
        <x:f>IF(J11="","",MAX(0,N11-J11))</x:f>
      </x:c>
      <x:c r="P11" s="33"/>
      <x:c r="Q11" s="33" t="str">
        <x:f>IF(J11="","",J11*N(P11))</x:f>
      </x:c>
      <x:c r="R11" s="34" t="str">
        <x:f>IFERROR(J11/L11,"")</x:f>
      </x:c>
      <x:c r="S11" s="17" t="str">
        <x:f>IF(A11="","",IF(J11&lt;=0,"缺货",IF(J11&lt;=K11,"低于安全库存",IF(J11&lt;=N11,"建议补货","正常"))))</x:f>
      </x:c>
      <x:c r="T11" s="17" t="str"/>
    </x:row>
    <x:row r="12">
      <x:c r="A12" s="17" t="str"/>
      <x:c r="B12" s="17" t="str"/>
      <x:c r="C12" s="17" t="str"/>
      <x:c r="D12" s="17" t="str"/>
      <x:c r="E12" s="32"/>
      <x:c r="F12" s="32" t="str">
        <x:f>IF(A12="","",SUMIFS('4_进货记录'!$E:$E,'4_进货记录'!$C:$C,A12,'4_进货记录'!$I:$I,"已入库"))</x:f>
      </x:c>
      <x:c r="G12" s="32"/>
      <x:c r="H12" s="32" t="str">
        <x:f>IF(A12="","",SUMIFS('5_盘点与报损'!$G:$G,'5_盘点与报损'!$B:$B,A12,'5_盘点与报损'!$C:$C,"报损"))</x:f>
      </x:c>
      <x:c r="I12" s="32"/>
      <x:c r="J12" s="32" t="n">
        <x:f>IF(I12&lt;&gt;"",I12,N(E12)+N(F12)-N(G12)-N(H12))</x:f>
        <x:v>0</x:v>
      </x:c>
      <x:c r="K12" s="32"/>
      <x:c r="L12" s="32"/>
      <x:c r="M12" s="32"/>
      <x:c r="N12" s="32" t="n">
        <x:f>N(K12)+N(L12)*N(M12)</x:f>
        <x:v>0</x:v>
      </x:c>
      <x:c r="O12" s="32" t="str">
        <x:f>IF(J12="","",MAX(0,N12-J12))</x:f>
      </x:c>
      <x:c r="P12" s="33"/>
      <x:c r="Q12" s="33" t="str">
        <x:f>IF(J12="","",J12*N(P12))</x:f>
      </x:c>
      <x:c r="R12" s="34" t="str">
        <x:f>IFERROR(J12/L12,"")</x:f>
      </x:c>
      <x:c r="S12" s="17" t="str">
        <x:f>IF(A12="","",IF(J12&lt;=0,"缺货",IF(J12&lt;=K12,"低于安全库存",IF(J12&lt;=N12,"建议补货","正常"))))</x:f>
      </x:c>
      <x:c r="T12" s="17" t="str"/>
    </x:row>
    <x:row r="13">
      <x:c r="A13" s="17" t="str"/>
      <x:c r="B13" s="17" t="str"/>
      <x:c r="C13" s="17" t="str"/>
      <x:c r="D13" s="17" t="str"/>
      <x:c r="E13" s="32"/>
      <x:c r="F13" s="32" t="str">
        <x:f>IF(A13="","",SUMIFS('4_进货记录'!$E:$E,'4_进货记录'!$C:$C,A13,'4_进货记录'!$I:$I,"已入库"))</x:f>
      </x:c>
      <x:c r="G13" s="32"/>
      <x:c r="H13" s="32" t="str">
        <x:f>IF(A13="","",SUMIFS('5_盘点与报损'!$G:$G,'5_盘点与报损'!$B:$B,A13,'5_盘点与报损'!$C:$C,"报损"))</x:f>
      </x:c>
      <x:c r="I13" s="32"/>
      <x:c r="J13" s="32" t="n">
        <x:f>IF(I13&lt;&gt;"",I13,N(E13)+N(F13)-N(G13)-N(H13))</x:f>
        <x:v>0</x:v>
      </x:c>
      <x:c r="K13" s="32"/>
      <x:c r="L13" s="32"/>
      <x:c r="M13" s="32"/>
      <x:c r="N13" s="32" t="n">
        <x:f>N(K13)+N(L13)*N(M13)</x:f>
        <x:v>0</x:v>
      </x:c>
      <x:c r="O13" s="32" t="str">
        <x:f>IF(J13="","",MAX(0,N13-J13))</x:f>
      </x:c>
      <x:c r="P13" s="33"/>
      <x:c r="Q13" s="33" t="str">
        <x:f>IF(J13="","",J13*N(P13))</x:f>
      </x:c>
      <x:c r="R13" s="34" t="str">
        <x:f>IFERROR(J13/L13,"")</x:f>
      </x:c>
      <x:c r="S13" s="17" t="str">
        <x:f>IF(A13="","",IF(J13&lt;=0,"缺货",IF(J13&lt;=K13,"低于安全库存",IF(J13&lt;=N13,"建议补货","正常"))))</x:f>
      </x:c>
      <x:c r="T13" s="17" t="str"/>
    </x:row>
    <x:row r="14">
      <x:c r="A14" s="17" t="str"/>
      <x:c r="B14" s="17" t="str"/>
      <x:c r="C14" s="17" t="str"/>
      <x:c r="D14" s="17" t="str"/>
      <x:c r="E14" s="32"/>
      <x:c r="F14" s="32" t="str">
        <x:f>IF(A14="","",SUMIFS('4_进货记录'!$E:$E,'4_进货记录'!$C:$C,A14,'4_进货记录'!$I:$I,"已入库"))</x:f>
      </x:c>
      <x:c r="G14" s="32"/>
      <x:c r="H14" s="32" t="str">
        <x:f>IF(A14="","",SUMIFS('5_盘点与报损'!$G:$G,'5_盘点与报损'!$B:$B,A14,'5_盘点与报损'!$C:$C,"报损"))</x:f>
      </x:c>
      <x:c r="I14" s="32"/>
      <x:c r="J14" s="32" t="n">
        <x:f>IF(I14&lt;&gt;"",I14,N(E14)+N(F14)-N(G14)-N(H14))</x:f>
        <x:v>0</x:v>
      </x:c>
      <x:c r="K14" s="32"/>
      <x:c r="L14" s="32"/>
      <x:c r="M14" s="32"/>
      <x:c r="N14" s="32" t="n">
        <x:f>N(K14)+N(L14)*N(M14)</x:f>
        <x:v>0</x:v>
      </x:c>
      <x:c r="O14" s="32" t="str">
        <x:f>IF(J14="","",MAX(0,N14-J14))</x:f>
      </x:c>
      <x:c r="P14" s="33"/>
      <x:c r="Q14" s="33" t="str">
        <x:f>IF(J14="","",J14*N(P14))</x:f>
      </x:c>
      <x:c r="R14" s="34" t="str">
        <x:f>IFERROR(J14/L14,"")</x:f>
      </x:c>
      <x:c r="S14" s="17" t="str">
        <x:f>IF(A14="","",IF(J14&lt;=0,"缺货",IF(J14&lt;=K14,"低于安全库存",IF(J14&lt;=N14,"建议补货","正常"))))</x:f>
      </x:c>
      <x:c r="T14" s="17" t="str"/>
    </x:row>
    <x:row r="15">
      <x:c r="A15" s="17" t="str"/>
      <x:c r="B15" s="17" t="str"/>
      <x:c r="C15" s="17" t="str"/>
      <x:c r="D15" s="17" t="str"/>
      <x:c r="E15" s="32"/>
      <x:c r="F15" s="32" t="str">
        <x:f>IF(A15="","",SUMIFS('4_进货记录'!$E:$E,'4_进货记录'!$C:$C,A15,'4_进货记录'!$I:$I,"已入库"))</x:f>
      </x:c>
      <x:c r="G15" s="32"/>
      <x:c r="H15" s="32" t="str">
        <x:f>IF(A15="","",SUMIFS('5_盘点与报损'!$G:$G,'5_盘点与报损'!$B:$B,A15,'5_盘点与报损'!$C:$C,"报损"))</x:f>
      </x:c>
      <x:c r="I15" s="32"/>
      <x:c r="J15" s="32" t="n">
        <x:f>IF(I15&lt;&gt;"",I15,N(E15)+N(F15)-N(G15)-N(H15))</x:f>
        <x:v>0</x:v>
      </x:c>
      <x:c r="K15" s="32"/>
      <x:c r="L15" s="32"/>
      <x:c r="M15" s="32"/>
      <x:c r="N15" s="32" t="n">
        <x:f>N(K15)+N(L15)*N(M15)</x:f>
        <x:v>0</x:v>
      </x:c>
      <x:c r="O15" s="32" t="str">
        <x:f>IF(J15="","",MAX(0,N15-J15))</x:f>
      </x:c>
      <x:c r="P15" s="33"/>
      <x:c r="Q15" s="33" t="str">
        <x:f>IF(J15="","",J15*N(P15))</x:f>
      </x:c>
      <x:c r="R15" s="34" t="str">
        <x:f>IFERROR(J15/L15,"")</x:f>
      </x:c>
      <x:c r="S15" s="17" t="str">
        <x:f>IF(A15="","",IF(J15&lt;=0,"缺货",IF(J15&lt;=K15,"低于安全库存",IF(J15&lt;=N15,"建议补货","正常"))))</x:f>
      </x:c>
      <x:c r="T15" s="17" t="str"/>
    </x:row>
    <x:row r="16">
      <x:c r="A16" s="17" t="str"/>
      <x:c r="B16" s="17" t="str"/>
      <x:c r="C16" s="17" t="str"/>
      <x:c r="D16" s="17" t="str"/>
      <x:c r="E16" s="32"/>
      <x:c r="F16" s="32" t="str">
        <x:f>IF(A16="","",SUMIFS('4_进货记录'!$E:$E,'4_进货记录'!$C:$C,A16,'4_进货记录'!$I:$I,"已入库"))</x:f>
      </x:c>
      <x:c r="G16" s="32"/>
      <x:c r="H16" s="32" t="str">
        <x:f>IF(A16="","",SUMIFS('5_盘点与报损'!$G:$G,'5_盘点与报损'!$B:$B,A16,'5_盘点与报损'!$C:$C,"报损"))</x:f>
      </x:c>
      <x:c r="I16" s="32"/>
      <x:c r="J16" s="32" t="n">
        <x:f>IF(I16&lt;&gt;"",I16,N(E16)+N(F16)-N(G16)-N(H16))</x:f>
        <x:v>0</x:v>
      </x:c>
      <x:c r="K16" s="32"/>
      <x:c r="L16" s="32"/>
      <x:c r="M16" s="32"/>
      <x:c r="N16" s="32" t="n">
        <x:f>N(K16)+N(L16)*N(M16)</x:f>
        <x:v>0</x:v>
      </x:c>
      <x:c r="O16" s="32" t="str">
        <x:f>IF(J16="","",MAX(0,N16-J16))</x:f>
      </x:c>
      <x:c r="P16" s="33"/>
      <x:c r="Q16" s="33" t="str">
        <x:f>IF(J16="","",J16*N(P16))</x:f>
      </x:c>
      <x:c r="R16" s="34" t="str">
        <x:f>IFERROR(J16/L16,"")</x:f>
      </x:c>
      <x:c r="S16" s="17" t="str">
        <x:f>IF(A16="","",IF(J16&lt;=0,"缺货",IF(J16&lt;=K16,"低于安全库存",IF(J16&lt;=N16,"建议补货","正常"))))</x:f>
      </x:c>
      <x:c r="T16" s="17" t="str"/>
    </x:row>
    <x:row r="17">
      <x:c r="A17" s="17" t="str"/>
      <x:c r="B17" s="17" t="str"/>
      <x:c r="C17" s="17" t="str"/>
      <x:c r="D17" s="17" t="str"/>
      <x:c r="E17" s="32"/>
      <x:c r="F17" s="32" t="str">
        <x:f>IF(A17="","",SUMIFS('4_进货记录'!$E:$E,'4_进货记录'!$C:$C,A17,'4_进货记录'!$I:$I,"已入库"))</x:f>
      </x:c>
      <x:c r="G17" s="32"/>
      <x:c r="H17" s="32" t="str">
        <x:f>IF(A17="","",SUMIFS('5_盘点与报损'!$G:$G,'5_盘点与报损'!$B:$B,A17,'5_盘点与报损'!$C:$C,"报损"))</x:f>
      </x:c>
      <x:c r="I17" s="32"/>
      <x:c r="J17" s="32" t="n">
        <x:f>IF(I17&lt;&gt;"",I17,N(E17)+N(F17)-N(G17)-N(H17))</x:f>
        <x:v>0</x:v>
      </x:c>
      <x:c r="K17" s="32"/>
      <x:c r="L17" s="32"/>
      <x:c r="M17" s="32"/>
      <x:c r="N17" s="32" t="n">
        <x:f>N(K17)+N(L17)*N(M17)</x:f>
        <x:v>0</x:v>
      </x:c>
      <x:c r="O17" s="32" t="str">
        <x:f>IF(J17="","",MAX(0,N17-J17))</x:f>
      </x:c>
      <x:c r="P17" s="33"/>
      <x:c r="Q17" s="33" t="str">
        <x:f>IF(J17="","",J17*N(P17))</x:f>
      </x:c>
      <x:c r="R17" s="34" t="str">
        <x:f>IFERROR(J17/L17,"")</x:f>
      </x:c>
      <x:c r="S17" s="17" t="str">
        <x:f>IF(A17="","",IF(J17&lt;=0,"缺货",IF(J17&lt;=K17,"低于安全库存",IF(J17&lt;=N17,"建议补货","正常"))))</x:f>
      </x:c>
      <x:c r="T17" s="17" t="str"/>
    </x:row>
    <x:row r="18">
      <x:c r="A18" s="17" t="str"/>
      <x:c r="B18" s="17" t="str"/>
      <x:c r="C18" s="17" t="str"/>
      <x:c r="D18" s="17" t="str"/>
      <x:c r="E18" s="32"/>
      <x:c r="F18" s="32" t="str">
        <x:f>IF(A18="","",SUMIFS('4_进货记录'!$E:$E,'4_进货记录'!$C:$C,A18,'4_进货记录'!$I:$I,"已入库"))</x:f>
      </x:c>
      <x:c r="G18" s="32"/>
      <x:c r="H18" s="32" t="str">
        <x:f>IF(A18="","",SUMIFS('5_盘点与报损'!$G:$G,'5_盘点与报损'!$B:$B,A18,'5_盘点与报损'!$C:$C,"报损"))</x:f>
      </x:c>
      <x:c r="I18" s="32"/>
      <x:c r="J18" s="32" t="n">
        <x:f>IF(I18&lt;&gt;"",I18,N(E18)+N(F18)-N(G18)-N(H18))</x:f>
        <x:v>0</x:v>
      </x:c>
      <x:c r="K18" s="32"/>
      <x:c r="L18" s="32"/>
      <x:c r="M18" s="32"/>
      <x:c r="N18" s="32" t="n">
        <x:f>N(K18)+N(L18)*N(M18)</x:f>
        <x:v>0</x:v>
      </x:c>
      <x:c r="O18" s="32" t="str">
        <x:f>IF(J18="","",MAX(0,N18-J18))</x:f>
      </x:c>
      <x:c r="P18" s="33"/>
      <x:c r="Q18" s="33" t="str">
        <x:f>IF(J18="","",J18*N(P18))</x:f>
      </x:c>
      <x:c r="R18" s="34" t="str">
        <x:f>IFERROR(J18/L18,"")</x:f>
      </x:c>
      <x:c r="S18" s="17" t="str">
        <x:f>IF(A18="","",IF(J18&lt;=0,"缺货",IF(J18&lt;=K18,"低于安全库存",IF(J18&lt;=N18,"建议补货","正常"))))</x:f>
      </x:c>
      <x:c r="T18" s="17" t="str"/>
    </x:row>
    <x:row r="19">
      <x:c r="A19" s="17" t="str"/>
      <x:c r="B19" s="17" t="str"/>
      <x:c r="C19" s="17" t="str"/>
      <x:c r="D19" s="17" t="str"/>
      <x:c r="E19" s="32"/>
      <x:c r="F19" s="32" t="str">
        <x:f>IF(A19="","",SUMIFS('4_进货记录'!$E:$E,'4_进货记录'!$C:$C,A19,'4_进货记录'!$I:$I,"已入库"))</x:f>
      </x:c>
      <x:c r="G19" s="32"/>
      <x:c r="H19" s="32" t="str">
        <x:f>IF(A19="","",SUMIFS('5_盘点与报损'!$G:$G,'5_盘点与报损'!$B:$B,A19,'5_盘点与报损'!$C:$C,"报损"))</x:f>
      </x:c>
      <x:c r="I19" s="32"/>
      <x:c r="J19" s="32" t="n">
        <x:f>IF(I19&lt;&gt;"",I19,N(E19)+N(F19)-N(G19)-N(H19))</x:f>
        <x:v>0</x:v>
      </x:c>
      <x:c r="K19" s="32"/>
      <x:c r="L19" s="32"/>
      <x:c r="M19" s="32"/>
      <x:c r="N19" s="32" t="n">
        <x:f>N(K19)+N(L19)*N(M19)</x:f>
        <x:v>0</x:v>
      </x:c>
      <x:c r="O19" s="32" t="str">
        <x:f>IF(J19="","",MAX(0,N19-J19))</x:f>
      </x:c>
      <x:c r="P19" s="33"/>
      <x:c r="Q19" s="33" t="str">
        <x:f>IF(J19="","",J19*N(P19))</x:f>
      </x:c>
      <x:c r="R19" s="34" t="str">
        <x:f>IFERROR(J19/L19,"")</x:f>
      </x:c>
      <x:c r="S19" s="17" t="str">
        <x:f>IF(A19="","",IF(J19&lt;=0,"缺货",IF(J19&lt;=K19,"低于安全库存",IF(J19&lt;=N19,"建议补货","正常"))))</x:f>
      </x:c>
      <x:c r="T19" s="17" t="str"/>
    </x:row>
    <x:row r="20">
      <x:c r="A20" s="17" t="str"/>
      <x:c r="B20" s="17" t="str"/>
      <x:c r="C20" s="17" t="str"/>
      <x:c r="D20" s="17" t="str"/>
      <x:c r="E20" s="32"/>
      <x:c r="F20" s="32" t="str">
        <x:f>IF(A20="","",SUMIFS('4_进货记录'!$E:$E,'4_进货记录'!$C:$C,A20,'4_进货记录'!$I:$I,"已入库"))</x:f>
      </x:c>
      <x:c r="G20" s="32"/>
      <x:c r="H20" s="32" t="str">
        <x:f>IF(A20="","",SUMIFS('5_盘点与报损'!$G:$G,'5_盘点与报损'!$B:$B,A20,'5_盘点与报损'!$C:$C,"报损"))</x:f>
      </x:c>
      <x:c r="I20" s="32"/>
      <x:c r="J20" s="32" t="n">
        <x:f>IF(I20&lt;&gt;"",I20,N(E20)+N(F20)-N(G20)-N(H20))</x:f>
        <x:v>0</x:v>
      </x:c>
      <x:c r="K20" s="32"/>
      <x:c r="L20" s="32"/>
      <x:c r="M20" s="32"/>
      <x:c r="N20" s="32" t="n">
        <x:f>N(K20)+N(L20)*N(M20)</x:f>
        <x:v>0</x:v>
      </x:c>
      <x:c r="O20" s="32" t="str">
        <x:f>IF(J20="","",MAX(0,N20-J20))</x:f>
      </x:c>
      <x:c r="P20" s="33"/>
      <x:c r="Q20" s="33" t="str">
        <x:f>IF(J20="","",J20*N(P20))</x:f>
      </x:c>
      <x:c r="R20" s="34" t="str">
        <x:f>IFERROR(J20/L20,"")</x:f>
      </x:c>
      <x:c r="S20" s="17" t="str">
        <x:f>IF(A20="","",IF(J20&lt;=0,"缺货",IF(J20&lt;=K20,"低于安全库存",IF(J20&lt;=N20,"建议补货","正常"))))</x:f>
      </x:c>
      <x:c r="T20" s="17" t="str"/>
    </x:row>
    <x:row r="21">
      <x:c r="A21" s="17" t="str"/>
      <x:c r="B21" s="17" t="str"/>
      <x:c r="C21" s="17" t="str"/>
      <x:c r="D21" s="17" t="str"/>
      <x:c r="E21" s="32"/>
      <x:c r="F21" s="32" t="str">
        <x:f>IF(A21="","",SUMIFS('4_进货记录'!$E:$E,'4_进货记录'!$C:$C,A21,'4_进货记录'!$I:$I,"已入库"))</x:f>
      </x:c>
      <x:c r="G21" s="32"/>
      <x:c r="H21" s="32" t="str">
        <x:f>IF(A21="","",SUMIFS('5_盘点与报损'!$G:$G,'5_盘点与报损'!$B:$B,A21,'5_盘点与报损'!$C:$C,"报损"))</x:f>
      </x:c>
      <x:c r="I21" s="32"/>
      <x:c r="J21" s="32" t="n">
        <x:f>IF(I21&lt;&gt;"",I21,N(E21)+N(F21)-N(G21)-N(H21))</x:f>
        <x:v>0</x:v>
      </x:c>
      <x:c r="K21" s="32"/>
      <x:c r="L21" s="32"/>
      <x:c r="M21" s="32"/>
      <x:c r="N21" s="32" t="n">
        <x:f>N(K21)+N(L21)*N(M21)</x:f>
        <x:v>0</x:v>
      </x:c>
      <x:c r="O21" s="32" t="str">
        <x:f>IF(J21="","",MAX(0,N21-J21))</x:f>
      </x:c>
      <x:c r="P21" s="33"/>
      <x:c r="Q21" s="33" t="str">
        <x:f>IF(J21="","",J21*N(P21))</x:f>
      </x:c>
      <x:c r="R21" s="34" t="str">
        <x:f>IFERROR(J21/L21,"")</x:f>
      </x:c>
      <x:c r="S21" s="17" t="str">
        <x:f>IF(A21="","",IF(J21&lt;=0,"缺货",IF(J21&lt;=K21,"低于安全库存",IF(J21&lt;=N21,"建议补货","正常"))))</x:f>
      </x:c>
      <x:c r="T21" s="17" t="str"/>
    </x:row>
    <x:row r="22">
      <x:c r="A22" s="17" t="str"/>
      <x:c r="B22" s="17" t="str"/>
      <x:c r="C22" s="17" t="str"/>
      <x:c r="D22" s="17" t="str"/>
      <x:c r="E22" s="32"/>
      <x:c r="F22" s="32" t="str">
        <x:f>IF(A22="","",SUMIFS('4_进货记录'!$E:$E,'4_进货记录'!$C:$C,A22,'4_进货记录'!$I:$I,"已入库"))</x:f>
      </x:c>
      <x:c r="G22" s="32"/>
      <x:c r="H22" s="32" t="str">
        <x:f>IF(A22="","",SUMIFS('5_盘点与报损'!$G:$G,'5_盘点与报损'!$B:$B,A22,'5_盘点与报损'!$C:$C,"报损"))</x:f>
      </x:c>
      <x:c r="I22" s="32"/>
      <x:c r="J22" s="32" t="n">
        <x:f>IF(I22&lt;&gt;"",I22,N(E22)+N(F22)-N(G22)-N(H22))</x:f>
        <x:v>0</x:v>
      </x:c>
      <x:c r="K22" s="32"/>
      <x:c r="L22" s="32"/>
      <x:c r="M22" s="32"/>
      <x:c r="N22" s="32" t="n">
        <x:f>N(K22)+N(L22)*N(M22)</x:f>
        <x:v>0</x:v>
      </x:c>
      <x:c r="O22" s="32" t="str">
        <x:f>IF(J22="","",MAX(0,N22-J22))</x:f>
      </x:c>
      <x:c r="P22" s="33"/>
      <x:c r="Q22" s="33" t="str">
        <x:f>IF(J22="","",J22*N(P22))</x:f>
      </x:c>
      <x:c r="R22" s="34" t="str">
        <x:f>IFERROR(J22/L22,"")</x:f>
      </x:c>
      <x:c r="S22" s="17" t="str">
        <x:f>IF(A22="","",IF(J22&lt;=0,"缺货",IF(J22&lt;=K22,"低于安全库存",IF(J22&lt;=N22,"建议补货","正常"))))</x:f>
      </x:c>
      <x:c r="T22" s="17" t="str"/>
    </x:row>
    <x:row r="23">
      <x:c r="A23" s="17" t="str"/>
      <x:c r="B23" s="17" t="str"/>
      <x:c r="C23" s="17" t="str"/>
      <x:c r="D23" s="17" t="str"/>
      <x:c r="E23" s="32"/>
      <x:c r="F23" s="32" t="str">
        <x:f>IF(A23="","",SUMIFS('4_进货记录'!$E:$E,'4_进货记录'!$C:$C,A23,'4_进货记录'!$I:$I,"已入库"))</x:f>
      </x:c>
      <x:c r="G23" s="32"/>
      <x:c r="H23" s="32" t="str">
        <x:f>IF(A23="","",SUMIFS('5_盘点与报损'!$G:$G,'5_盘点与报损'!$B:$B,A23,'5_盘点与报损'!$C:$C,"报损"))</x:f>
      </x:c>
      <x:c r="I23" s="32"/>
      <x:c r="J23" s="32" t="n">
        <x:f>IF(I23&lt;&gt;"",I23,N(E23)+N(F23)-N(G23)-N(H23))</x:f>
        <x:v>0</x:v>
      </x:c>
      <x:c r="K23" s="32"/>
      <x:c r="L23" s="32"/>
      <x:c r="M23" s="32"/>
      <x:c r="N23" s="32" t="n">
        <x:f>N(K23)+N(L23)*N(M23)</x:f>
        <x:v>0</x:v>
      </x:c>
      <x:c r="O23" s="32" t="str">
        <x:f>IF(J23="","",MAX(0,N23-J23))</x:f>
      </x:c>
      <x:c r="P23" s="33"/>
      <x:c r="Q23" s="33" t="str">
        <x:f>IF(J23="","",J23*N(P23))</x:f>
      </x:c>
      <x:c r="R23" s="34" t="str">
        <x:f>IFERROR(J23/L23,"")</x:f>
      </x:c>
      <x:c r="S23" s="17" t="str">
        <x:f>IF(A23="","",IF(J23&lt;=0,"缺货",IF(J23&lt;=K23,"低于安全库存",IF(J23&lt;=N23,"建议补货","正常"))))</x:f>
      </x:c>
      <x:c r="T23" s="17" t="str"/>
    </x:row>
    <x:row r="24">
      <x:c r="A24" s="17" t="str"/>
      <x:c r="B24" s="17" t="str"/>
      <x:c r="C24" s="17" t="str"/>
      <x:c r="D24" s="17" t="str"/>
      <x:c r="E24" s="32"/>
      <x:c r="F24" s="32" t="str">
        <x:f>IF(A24="","",SUMIFS('4_进货记录'!$E:$E,'4_进货记录'!$C:$C,A24,'4_进货记录'!$I:$I,"已入库"))</x:f>
      </x:c>
      <x:c r="G24" s="32"/>
      <x:c r="H24" s="32" t="str">
        <x:f>IF(A24="","",SUMIFS('5_盘点与报损'!$G:$G,'5_盘点与报损'!$B:$B,A24,'5_盘点与报损'!$C:$C,"报损"))</x:f>
      </x:c>
      <x:c r="I24" s="32"/>
      <x:c r="J24" s="32" t="n">
        <x:f>IF(I24&lt;&gt;"",I24,N(E24)+N(F24)-N(G24)-N(H24))</x:f>
        <x:v>0</x:v>
      </x:c>
      <x:c r="K24" s="32"/>
      <x:c r="L24" s="32"/>
      <x:c r="M24" s="32"/>
      <x:c r="N24" s="32" t="n">
        <x:f>N(K24)+N(L24)*N(M24)</x:f>
        <x:v>0</x:v>
      </x:c>
      <x:c r="O24" s="32" t="str">
        <x:f>IF(J24="","",MAX(0,N24-J24))</x:f>
      </x:c>
      <x:c r="P24" s="33"/>
      <x:c r="Q24" s="33" t="str">
        <x:f>IF(J24="","",J24*N(P24))</x:f>
      </x:c>
      <x:c r="R24" s="34" t="str">
        <x:f>IFERROR(J24/L24,"")</x:f>
      </x:c>
      <x:c r="S24" s="17" t="str">
        <x:f>IF(A24="","",IF(J24&lt;=0,"缺货",IF(J24&lt;=K24,"低于安全库存",IF(J24&lt;=N24,"建议补货","正常"))))</x:f>
      </x:c>
      <x:c r="T24" s="17" t="str"/>
    </x:row>
    <x:row r="25">
      <x:c r="A25" s="17" t="str"/>
      <x:c r="B25" s="17" t="str"/>
      <x:c r="C25" s="17" t="str"/>
      <x:c r="D25" s="17" t="str"/>
      <x:c r="E25" s="32"/>
      <x:c r="F25" s="32" t="str">
        <x:f>IF(A25="","",SUMIFS('4_进货记录'!$E:$E,'4_进货记录'!$C:$C,A25,'4_进货记录'!$I:$I,"已入库"))</x:f>
      </x:c>
      <x:c r="G25" s="32"/>
      <x:c r="H25" s="32" t="str">
        <x:f>IF(A25="","",SUMIFS('5_盘点与报损'!$G:$G,'5_盘点与报损'!$B:$B,A25,'5_盘点与报损'!$C:$C,"报损"))</x:f>
      </x:c>
      <x:c r="I25" s="32"/>
      <x:c r="J25" s="32" t="n">
        <x:f>IF(I25&lt;&gt;"",I25,N(E25)+N(F25)-N(G25)-N(H25))</x:f>
        <x:v>0</x:v>
      </x:c>
      <x:c r="K25" s="32"/>
      <x:c r="L25" s="32"/>
      <x:c r="M25" s="32"/>
      <x:c r="N25" s="32" t="n">
        <x:f>N(K25)+N(L25)*N(M25)</x:f>
        <x:v>0</x:v>
      </x:c>
      <x:c r="O25" s="32" t="str">
        <x:f>IF(J25="","",MAX(0,N25-J25))</x:f>
      </x:c>
      <x:c r="P25" s="33"/>
      <x:c r="Q25" s="33" t="str">
        <x:f>IF(J25="","",J25*N(P25))</x:f>
      </x:c>
      <x:c r="R25" s="34" t="str">
        <x:f>IFERROR(J25/L25,"")</x:f>
      </x:c>
      <x:c r="S25" s="17" t="str">
        <x:f>IF(A25="","",IF(J25&lt;=0,"缺货",IF(J25&lt;=K25,"低于安全库存",IF(J25&lt;=N25,"建议补货","正常"))))</x:f>
      </x:c>
      <x:c r="T25" s="17" t="str"/>
    </x:row>
    <x:row r="26">
      <x:c r="A26" s="17" t="str"/>
      <x:c r="B26" s="17" t="str"/>
      <x:c r="C26" s="17" t="str"/>
      <x:c r="D26" s="17" t="str"/>
      <x:c r="E26" s="32"/>
      <x:c r="F26" s="32" t="str">
        <x:f>IF(A26="","",SUMIFS('4_进货记录'!$E:$E,'4_进货记录'!$C:$C,A26,'4_进货记录'!$I:$I,"已入库"))</x:f>
      </x:c>
      <x:c r="G26" s="32"/>
      <x:c r="H26" s="32" t="str">
        <x:f>IF(A26="","",SUMIFS('5_盘点与报损'!$G:$G,'5_盘点与报损'!$B:$B,A26,'5_盘点与报损'!$C:$C,"报损"))</x:f>
      </x:c>
      <x:c r="I26" s="32"/>
      <x:c r="J26" s="32" t="n">
        <x:f>IF(I26&lt;&gt;"",I26,N(E26)+N(F26)-N(G26)-N(H26))</x:f>
        <x:v>0</x:v>
      </x:c>
      <x:c r="K26" s="32"/>
      <x:c r="L26" s="32"/>
      <x:c r="M26" s="32"/>
      <x:c r="N26" s="32" t="n">
        <x:f>N(K26)+N(L26)*N(M26)</x:f>
        <x:v>0</x:v>
      </x:c>
      <x:c r="O26" s="32" t="str">
        <x:f>IF(J26="","",MAX(0,N26-J26))</x:f>
      </x:c>
      <x:c r="P26" s="33"/>
      <x:c r="Q26" s="33" t="str">
        <x:f>IF(J26="","",J26*N(P26))</x:f>
      </x:c>
      <x:c r="R26" s="34" t="str">
        <x:f>IFERROR(J26/L26,"")</x:f>
      </x:c>
      <x:c r="S26" s="17" t="str">
        <x:f>IF(A26="","",IF(J26&lt;=0,"缺货",IF(J26&lt;=K26,"低于安全库存",IF(J26&lt;=N26,"建议补货","正常"))))</x:f>
      </x:c>
      <x:c r="T26" s="17" t="str"/>
    </x:row>
    <x:row r="27">
      <x:c r="A27" s="17" t="str"/>
      <x:c r="B27" s="17" t="str"/>
      <x:c r="C27" s="17" t="str"/>
      <x:c r="D27" s="17" t="str"/>
      <x:c r="E27" s="32"/>
      <x:c r="F27" s="32" t="str">
        <x:f>IF(A27="","",SUMIFS('4_进货记录'!$E:$E,'4_进货记录'!$C:$C,A27,'4_进货记录'!$I:$I,"已入库"))</x:f>
      </x:c>
      <x:c r="G27" s="32"/>
      <x:c r="H27" s="32" t="str">
        <x:f>IF(A27="","",SUMIFS('5_盘点与报损'!$G:$G,'5_盘点与报损'!$B:$B,A27,'5_盘点与报损'!$C:$C,"报损"))</x:f>
      </x:c>
      <x:c r="I27" s="32"/>
      <x:c r="J27" s="32" t="n">
        <x:f>IF(I27&lt;&gt;"",I27,N(E27)+N(F27)-N(G27)-N(H27))</x:f>
        <x:v>0</x:v>
      </x:c>
      <x:c r="K27" s="32"/>
      <x:c r="L27" s="32"/>
      <x:c r="M27" s="32"/>
      <x:c r="N27" s="32" t="n">
        <x:f>N(K27)+N(L27)*N(M27)</x:f>
        <x:v>0</x:v>
      </x:c>
      <x:c r="O27" s="32" t="str">
        <x:f>IF(J27="","",MAX(0,N27-J27))</x:f>
      </x:c>
      <x:c r="P27" s="33"/>
      <x:c r="Q27" s="33" t="str">
        <x:f>IF(J27="","",J27*N(P27))</x:f>
      </x:c>
      <x:c r="R27" s="34" t="str">
        <x:f>IFERROR(J27/L27,"")</x:f>
      </x:c>
      <x:c r="S27" s="17" t="str">
        <x:f>IF(A27="","",IF(J27&lt;=0,"缺货",IF(J27&lt;=K27,"低于安全库存",IF(J27&lt;=N27,"建议补货","正常"))))</x:f>
      </x:c>
      <x:c r="T27" s="17" t="str"/>
    </x:row>
    <x:row r="28">
      <x:c r="A28" s="17" t="str"/>
      <x:c r="B28" s="17" t="str"/>
      <x:c r="C28" s="17" t="str"/>
      <x:c r="D28" s="17" t="str"/>
      <x:c r="E28" s="32"/>
      <x:c r="F28" s="32" t="str">
        <x:f>IF(A28="","",SUMIFS('4_进货记录'!$E:$E,'4_进货记录'!$C:$C,A28,'4_进货记录'!$I:$I,"已入库"))</x:f>
      </x:c>
      <x:c r="G28" s="32"/>
      <x:c r="H28" s="32" t="str">
        <x:f>IF(A28="","",SUMIFS('5_盘点与报损'!$G:$G,'5_盘点与报损'!$B:$B,A28,'5_盘点与报损'!$C:$C,"报损"))</x:f>
      </x:c>
      <x:c r="I28" s="32"/>
      <x:c r="J28" s="32" t="n">
        <x:f>IF(I28&lt;&gt;"",I28,N(E28)+N(F28)-N(G28)-N(H28))</x:f>
        <x:v>0</x:v>
      </x:c>
      <x:c r="K28" s="32"/>
      <x:c r="L28" s="32"/>
      <x:c r="M28" s="32"/>
      <x:c r="N28" s="32" t="n">
        <x:f>N(K28)+N(L28)*N(M28)</x:f>
        <x:v>0</x:v>
      </x:c>
      <x:c r="O28" s="32" t="str">
        <x:f>IF(J28="","",MAX(0,N28-J28))</x:f>
      </x:c>
      <x:c r="P28" s="33"/>
      <x:c r="Q28" s="33" t="str">
        <x:f>IF(J28="","",J28*N(P28))</x:f>
      </x:c>
      <x:c r="R28" s="34" t="str">
        <x:f>IFERROR(J28/L28,"")</x:f>
      </x:c>
      <x:c r="S28" s="17" t="str">
        <x:f>IF(A28="","",IF(J28&lt;=0,"缺货",IF(J28&lt;=K28,"低于安全库存",IF(J28&lt;=N28,"建议补货","正常"))))</x:f>
      </x:c>
      <x:c r="T28" s="17" t="str"/>
    </x:row>
    <x:row r="29">
      <x:c r="A29" s="17" t="str"/>
      <x:c r="B29" s="17" t="str"/>
      <x:c r="C29" s="17" t="str"/>
      <x:c r="D29" s="17" t="str"/>
      <x:c r="E29" s="32"/>
      <x:c r="F29" s="32" t="str">
        <x:f>IF(A29="","",SUMIFS('4_进货记录'!$E:$E,'4_进货记录'!$C:$C,A29,'4_进货记录'!$I:$I,"已入库"))</x:f>
      </x:c>
      <x:c r="G29" s="32"/>
      <x:c r="H29" s="32" t="str">
        <x:f>IF(A29="","",SUMIFS('5_盘点与报损'!$G:$G,'5_盘点与报损'!$B:$B,A29,'5_盘点与报损'!$C:$C,"报损"))</x:f>
      </x:c>
      <x:c r="I29" s="32"/>
      <x:c r="J29" s="32" t="n">
        <x:f>IF(I29&lt;&gt;"",I29,N(E29)+N(F29)-N(G29)-N(H29))</x:f>
        <x:v>0</x:v>
      </x:c>
      <x:c r="K29" s="32"/>
      <x:c r="L29" s="32"/>
      <x:c r="M29" s="32"/>
      <x:c r="N29" s="32" t="n">
        <x:f>N(K29)+N(L29)*N(M29)</x:f>
        <x:v>0</x:v>
      </x:c>
      <x:c r="O29" s="32" t="str">
        <x:f>IF(J29="","",MAX(0,N29-J29))</x:f>
      </x:c>
      <x:c r="P29" s="33"/>
      <x:c r="Q29" s="33" t="str">
        <x:f>IF(J29="","",J29*N(P29))</x:f>
      </x:c>
      <x:c r="R29" s="34" t="str">
        <x:f>IFERROR(J29/L29,"")</x:f>
      </x:c>
      <x:c r="S29" s="17" t="str">
        <x:f>IF(A29="","",IF(J29&lt;=0,"缺货",IF(J29&lt;=K29,"低于安全库存",IF(J29&lt;=N29,"建议补货","正常"))))</x:f>
      </x:c>
      <x:c r="T29" s="17" t="str"/>
    </x:row>
    <x:row r="30">
      <x:c r="A30" s="17" t="str"/>
      <x:c r="B30" s="17" t="str"/>
      <x:c r="C30" s="17" t="str"/>
      <x:c r="D30" s="17" t="str"/>
      <x:c r="E30" s="32"/>
      <x:c r="F30" s="32" t="str">
        <x:f>IF(A30="","",SUMIFS('4_进货记录'!$E:$E,'4_进货记录'!$C:$C,A30,'4_进货记录'!$I:$I,"已入库"))</x:f>
      </x:c>
      <x:c r="G30" s="32"/>
      <x:c r="H30" s="32" t="str">
        <x:f>IF(A30="","",SUMIFS('5_盘点与报损'!$G:$G,'5_盘点与报损'!$B:$B,A30,'5_盘点与报损'!$C:$C,"报损"))</x:f>
      </x:c>
      <x:c r="I30" s="32"/>
      <x:c r="J30" s="32" t="n">
        <x:f>IF(I30&lt;&gt;"",I30,N(E30)+N(F30)-N(G30)-N(H30))</x:f>
        <x:v>0</x:v>
      </x:c>
      <x:c r="K30" s="32"/>
      <x:c r="L30" s="32"/>
      <x:c r="M30" s="32"/>
      <x:c r="N30" s="32" t="n">
        <x:f>N(K30)+N(L30)*N(M30)</x:f>
        <x:v>0</x:v>
      </x:c>
      <x:c r="O30" s="32" t="str">
        <x:f>IF(J30="","",MAX(0,N30-J30))</x:f>
      </x:c>
      <x:c r="P30" s="33"/>
      <x:c r="Q30" s="33" t="str">
        <x:f>IF(J30="","",J30*N(P30))</x:f>
      </x:c>
      <x:c r="R30" s="34" t="str">
        <x:f>IFERROR(J30/L30,"")</x:f>
      </x:c>
      <x:c r="S30" s="17" t="str">
        <x:f>IF(A30="","",IF(J30&lt;=0,"缺货",IF(J30&lt;=K30,"低于安全库存",IF(J30&lt;=N30,"建议补货","正常"))))</x:f>
      </x:c>
      <x:c r="T30" s="17" t="str"/>
    </x:row>
    <x:row r="31">
      <x:c r="A31" s="17" t="str"/>
      <x:c r="B31" s="17" t="str"/>
      <x:c r="C31" s="17" t="str"/>
      <x:c r="D31" s="17" t="str"/>
      <x:c r="E31" s="32"/>
      <x:c r="F31" s="32" t="str">
        <x:f>IF(A31="","",SUMIFS('4_进货记录'!$E:$E,'4_进货记录'!$C:$C,A31,'4_进货记录'!$I:$I,"已入库"))</x:f>
      </x:c>
      <x:c r="G31" s="32"/>
      <x:c r="H31" s="32" t="str">
        <x:f>IF(A31="","",SUMIFS('5_盘点与报损'!$G:$G,'5_盘点与报损'!$B:$B,A31,'5_盘点与报损'!$C:$C,"报损"))</x:f>
      </x:c>
      <x:c r="I31" s="32"/>
      <x:c r="J31" s="32" t="n">
        <x:f>IF(I31&lt;&gt;"",I31,N(E31)+N(F31)-N(G31)-N(H31))</x:f>
        <x:v>0</x:v>
      </x:c>
      <x:c r="K31" s="32"/>
      <x:c r="L31" s="32"/>
      <x:c r="M31" s="32"/>
      <x:c r="N31" s="32" t="n">
        <x:f>N(K31)+N(L31)*N(M31)</x:f>
        <x:v>0</x:v>
      </x:c>
      <x:c r="O31" s="32" t="str">
        <x:f>IF(J31="","",MAX(0,N31-J31))</x:f>
      </x:c>
      <x:c r="P31" s="33"/>
      <x:c r="Q31" s="33" t="str">
        <x:f>IF(J31="","",J31*N(P31))</x:f>
      </x:c>
      <x:c r="R31" s="34" t="str">
        <x:f>IFERROR(J31/L31,"")</x:f>
      </x:c>
      <x:c r="S31" s="17" t="str">
        <x:f>IF(A31="","",IF(J31&lt;=0,"缺货",IF(J31&lt;=K31,"低于安全库存",IF(J31&lt;=N31,"建议补货","正常"))))</x:f>
      </x:c>
      <x:c r="T31" s="17" t="str"/>
    </x:row>
    <x:row r="32">
      <x:c r="A32" s="17" t="str"/>
      <x:c r="B32" s="17" t="str"/>
      <x:c r="C32" s="17" t="str"/>
      <x:c r="D32" s="17" t="str"/>
      <x:c r="E32" s="32"/>
      <x:c r="F32" s="32" t="str">
        <x:f>IF(A32="","",SUMIFS('4_进货记录'!$E:$E,'4_进货记录'!$C:$C,A32,'4_进货记录'!$I:$I,"已入库"))</x:f>
      </x:c>
      <x:c r="G32" s="32"/>
      <x:c r="H32" s="32" t="str">
        <x:f>IF(A32="","",SUMIFS('5_盘点与报损'!$G:$G,'5_盘点与报损'!$B:$B,A32,'5_盘点与报损'!$C:$C,"报损"))</x:f>
      </x:c>
      <x:c r="I32" s="32"/>
      <x:c r="J32" s="32" t="n">
        <x:f>IF(I32&lt;&gt;"",I32,N(E32)+N(F32)-N(G32)-N(H32))</x:f>
        <x:v>0</x:v>
      </x:c>
      <x:c r="K32" s="32"/>
      <x:c r="L32" s="32"/>
      <x:c r="M32" s="32"/>
      <x:c r="N32" s="32" t="n">
        <x:f>N(K32)+N(L32)*N(M32)</x:f>
        <x:v>0</x:v>
      </x:c>
      <x:c r="O32" s="32" t="str">
        <x:f>IF(J32="","",MAX(0,N32-J32))</x:f>
      </x:c>
      <x:c r="P32" s="33"/>
      <x:c r="Q32" s="33" t="str">
        <x:f>IF(J32="","",J32*N(P32))</x:f>
      </x:c>
      <x:c r="R32" s="34" t="str">
        <x:f>IFERROR(J32/L32,"")</x:f>
      </x:c>
      <x:c r="S32" s="17" t="str">
        <x:f>IF(A32="","",IF(J32&lt;=0,"缺货",IF(J32&lt;=K32,"低于安全库存",IF(J32&lt;=N32,"建议补货","正常"))))</x:f>
      </x:c>
      <x:c r="T32" s="17" t="str"/>
    </x:row>
    <x:row r="33">
      <x:c r="A33" s="17" t="str"/>
      <x:c r="B33" s="17" t="str"/>
      <x:c r="C33" s="17" t="str"/>
      <x:c r="D33" s="17" t="str"/>
      <x:c r="E33" s="32"/>
      <x:c r="F33" s="32" t="str">
        <x:f>IF(A33="","",SUMIFS('4_进货记录'!$E:$E,'4_进货记录'!$C:$C,A33,'4_进货记录'!$I:$I,"已入库"))</x:f>
      </x:c>
      <x:c r="G33" s="32"/>
      <x:c r="H33" s="32" t="str">
        <x:f>IF(A33="","",SUMIFS('5_盘点与报损'!$G:$G,'5_盘点与报损'!$B:$B,A33,'5_盘点与报损'!$C:$C,"报损"))</x:f>
      </x:c>
      <x:c r="I33" s="32"/>
      <x:c r="J33" s="32" t="n">
        <x:f>IF(I33&lt;&gt;"",I33,N(E33)+N(F33)-N(G33)-N(H33))</x:f>
        <x:v>0</x:v>
      </x:c>
      <x:c r="K33" s="32"/>
      <x:c r="L33" s="32"/>
      <x:c r="M33" s="32"/>
      <x:c r="N33" s="32" t="n">
        <x:f>N(K33)+N(L33)*N(M33)</x:f>
        <x:v>0</x:v>
      </x:c>
      <x:c r="O33" s="32" t="str">
        <x:f>IF(J33="","",MAX(0,N33-J33))</x:f>
      </x:c>
      <x:c r="P33" s="33"/>
      <x:c r="Q33" s="33" t="str">
        <x:f>IF(J33="","",J33*N(P33))</x:f>
      </x:c>
      <x:c r="R33" s="34" t="str">
        <x:f>IFERROR(J33/L33,"")</x:f>
      </x:c>
      <x:c r="S33" s="17" t="str">
        <x:f>IF(A33="","",IF(J33&lt;=0,"缺货",IF(J33&lt;=K33,"低于安全库存",IF(J33&lt;=N33,"建议补货","正常"))))</x:f>
      </x:c>
      <x:c r="T33" s="17" t="str"/>
    </x:row>
    <x:row r="34">
      <x:c r="A34" s="17" t="str"/>
      <x:c r="B34" s="17" t="str"/>
      <x:c r="C34" s="17" t="str"/>
      <x:c r="D34" s="17" t="str"/>
      <x:c r="E34" s="32"/>
      <x:c r="F34" s="32" t="str">
        <x:f>IF(A34="","",SUMIFS('4_进货记录'!$E:$E,'4_进货记录'!$C:$C,A34,'4_进货记录'!$I:$I,"已入库"))</x:f>
      </x:c>
      <x:c r="G34" s="32"/>
      <x:c r="H34" s="32" t="str">
        <x:f>IF(A34="","",SUMIFS('5_盘点与报损'!$G:$G,'5_盘点与报损'!$B:$B,A34,'5_盘点与报损'!$C:$C,"报损"))</x:f>
      </x:c>
      <x:c r="I34" s="32"/>
      <x:c r="J34" s="32" t="n">
        <x:f>IF(I34&lt;&gt;"",I34,N(E34)+N(F34)-N(G34)-N(H34))</x:f>
        <x:v>0</x:v>
      </x:c>
      <x:c r="K34" s="32"/>
      <x:c r="L34" s="32"/>
      <x:c r="M34" s="32"/>
      <x:c r="N34" s="32" t="n">
        <x:f>N(K34)+N(L34)*N(M34)</x:f>
        <x:v>0</x:v>
      </x:c>
      <x:c r="O34" s="32" t="str">
        <x:f>IF(J34="","",MAX(0,N34-J34))</x:f>
      </x:c>
      <x:c r="P34" s="33"/>
      <x:c r="Q34" s="33" t="str">
        <x:f>IF(J34="","",J34*N(P34))</x:f>
      </x:c>
      <x:c r="R34" s="34" t="str">
        <x:f>IFERROR(J34/L34,"")</x:f>
      </x:c>
      <x:c r="S34" s="17" t="str">
        <x:f>IF(A34="","",IF(J34&lt;=0,"缺货",IF(J34&lt;=K34,"低于安全库存",IF(J34&lt;=N34,"建议补货","正常"))))</x:f>
      </x:c>
      <x:c r="T34" s="17" t="str"/>
    </x:row>
    <x:row r="35">
      <x:c r="A35" s="17" t="str"/>
      <x:c r="B35" s="17" t="str"/>
      <x:c r="C35" s="17" t="str"/>
      <x:c r="D35" s="17" t="str"/>
      <x:c r="E35" s="32"/>
      <x:c r="F35" s="32" t="str">
        <x:f>IF(A35="","",SUMIFS('4_进货记录'!$E:$E,'4_进货记录'!$C:$C,A35,'4_进货记录'!$I:$I,"已入库"))</x:f>
      </x:c>
      <x:c r="G35" s="32"/>
      <x:c r="H35" s="32" t="str">
        <x:f>IF(A35="","",SUMIFS('5_盘点与报损'!$G:$G,'5_盘点与报损'!$B:$B,A35,'5_盘点与报损'!$C:$C,"报损"))</x:f>
      </x:c>
      <x:c r="I35" s="32"/>
      <x:c r="J35" s="32" t="n">
        <x:f>IF(I35&lt;&gt;"",I35,N(E35)+N(F35)-N(G35)-N(H35))</x:f>
        <x:v>0</x:v>
      </x:c>
      <x:c r="K35" s="32"/>
      <x:c r="L35" s="32"/>
      <x:c r="M35" s="32"/>
      <x:c r="N35" s="32" t="n">
        <x:f>N(K35)+N(L35)*N(M35)</x:f>
        <x:v>0</x:v>
      </x:c>
      <x:c r="O35" s="32" t="str">
        <x:f>IF(J35="","",MAX(0,N35-J35))</x:f>
      </x:c>
      <x:c r="P35" s="33"/>
      <x:c r="Q35" s="33" t="str">
        <x:f>IF(J35="","",J35*N(P35))</x:f>
      </x:c>
      <x:c r="R35" s="34" t="str">
        <x:f>IFERROR(J35/L35,"")</x:f>
      </x:c>
      <x:c r="S35" s="17" t="str">
        <x:f>IF(A35="","",IF(J35&lt;=0,"缺货",IF(J35&lt;=K35,"低于安全库存",IF(J35&lt;=N35,"建议补货","正常"))))</x:f>
      </x:c>
      <x:c r="T35" s="17" t="str"/>
    </x:row>
    <x:row r="36">
      <x:c r="A36" s="17" t="str"/>
      <x:c r="B36" s="17" t="str"/>
      <x:c r="C36" s="17" t="str"/>
      <x:c r="D36" s="17" t="str"/>
      <x:c r="E36" s="32"/>
      <x:c r="F36" s="32" t="str">
        <x:f>IF(A36="","",SUMIFS('4_进货记录'!$E:$E,'4_进货记录'!$C:$C,A36,'4_进货记录'!$I:$I,"已入库"))</x:f>
      </x:c>
      <x:c r="G36" s="32"/>
      <x:c r="H36" s="32" t="str">
        <x:f>IF(A36="","",SUMIFS('5_盘点与报损'!$G:$G,'5_盘点与报损'!$B:$B,A36,'5_盘点与报损'!$C:$C,"报损"))</x:f>
      </x:c>
      <x:c r="I36" s="32"/>
      <x:c r="J36" s="32" t="n">
        <x:f>IF(I36&lt;&gt;"",I36,N(E36)+N(F36)-N(G36)-N(H36))</x:f>
        <x:v>0</x:v>
      </x:c>
      <x:c r="K36" s="32"/>
      <x:c r="L36" s="32"/>
      <x:c r="M36" s="32"/>
      <x:c r="N36" s="32" t="n">
        <x:f>N(K36)+N(L36)*N(M36)</x:f>
        <x:v>0</x:v>
      </x:c>
      <x:c r="O36" s="32" t="str">
        <x:f>IF(J36="","",MAX(0,N36-J36))</x:f>
      </x:c>
      <x:c r="P36" s="33"/>
      <x:c r="Q36" s="33" t="str">
        <x:f>IF(J36="","",J36*N(P36))</x:f>
      </x:c>
      <x:c r="R36" s="34" t="str">
        <x:f>IFERROR(J36/L36,"")</x:f>
      </x:c>
      <x:c r="S36" s="17" t="str">
        <x:f>IF(A36="","",IF(J36&lt;=0,"缺货",IF(J36&lt;=K36,"低于安全库存",IF(J36&lt;=N36,"建议补货","正常"))))</x:f>
      </x:c>
      <x:c r="T36" s="17" t="str"/>
    </x:row>
    <x:row r="37">
      <x:c r="A37" s="17" t="str"/>
      <x:c r="B37" s="17" t="str"/>
      <x:c r="C37" s="17" t="str"/>
      <x:c r="D37" s="17" t="str"/>
      <x:c r="E37" s="32"/>
      <x:c r="F37" s="32" t="str">
        <x:f>IF(A37="","",SUMIFS('4_进货记录'!$E:$E,'4_进货记录'!$C:$C,A37,'4_进货记录'!$I:$I,"已入库"))</x:f>
      </x:c>
      <x:c r="G37" s="32"/>
      <x:c r="H37" s="32" t="str">
        <x:f>IF(A37="","",SUMIFS('5_盘点与报损'!$G:$G,'5_盘点与报损'!$B:$B,A37,'5_盘点与报损'!$C:$C,"报损"))</x:f>
      </x:c>
      <x:c r="I37" s="32"/>
      <x:c r="J37" s="32" t="n">
        <x:f>IF(I37&lt;&gt;"",I37,N(E37)+N(F37)-N(G37)-N(H37))</x:f>
        <x:v>0</x:v>
      </x:c>
      <x:c r="K37" s="32"/>
      <x:c r="L37" s="32"/>
      <x:c r="M37" s="32"/>
      <x:c r="N37" s="32" t="n">
        <x:f>N(K37)+N(L37)*N(M37)</x:f>
        <x:v>0</x:v>
      </x:c>
      <x:c r="O37" s="32" t="str">
        <x:f>IF(J37="","",MAX(0,N37-J37))</x:f>
      </x:c>
      <x:c r="P37" s="33"/>
      <x:c r="Q37" s="33" t="str">
        <x:f>IF(J37="","",J37*N(P37))</x:f>
      </x:c>
      <x:c r="R37" s="34" t="str">
        <x:f>IFERROR(J37/L37,"")</x:f>
      </x:c>
      <x:c r="S37" s="17" t="str">
        <x:f>IF(A37="","",IF(J37&lt;=0,"缺货",IF(J37&lt;=K37,"低于安全库存",IF(J37&lt;=N37,"建议补货","正常"))))</x:f>
      </x:c>
      <x:c r="T37" s="17" t="str"/>
    </x:row>
    <x:row r="38">
      <x:c r="A38" s="17" t="str"/>
      <x:c r="B38" s="17" t="str"/>
      <x:c r="C38" s="17" t="str"/>
      <x:c r="D38" s="17" t="str"/>
      <x:c r="E38" s="32"/>
      <x:c r="F38" s="32" t="str">
        <x:f>IF(A38="","",SUMIFS('4_进货记录'!$E:$E,'4_进货记录'!$C:$C,A38,'4_进货记录'!$I:$I,"已入库"))</x:f>
      </x:c>
      <x:c r="G38" s="32"/>
      <x:c r="H38" s="32" t="str">
        <x:f>IF(A38="","",SUMIFS('5_盘点与报损'!$G:$G,'5_盘点与报损'!$B:$B,A38,'5_盘点与报损'!$C:$C,"报损"))</x:f>
      </x:c>
      <x:c r="I38" s="32"/>
      <x:c r="J38" s="32" t="n">
        <x:f>IF(I38&lt;&gt;"",I38,N(E38)+N(F38)-N(G38)-N(H38))</x:f>
        <x:v>0</x:v>
      </x:c>
      <x:c r="K38" s="32"/>
      <x:c r="L38" s="32"/>
      <x:c r="M38" s="32"/>
      <x:c r="N38" s="32" t="n">
        <x:f>N(K38)+N(L38)*N(M38)</x:f>
        <x:v>0</x:v>
      </x:c>
      <x:c r="O38" s="32" t="str">
        <x:f>IF(J38="","",MAX(0,N38-J38))</x:f>
      </x:c>
      <x:c r="P38" s="33"/>
      <x:c r="Q38" s="33" t="str">
        <x:f>IF(J38="","",J38*N(P38))</x:f>
      </x:c>
      <x:c r="R38" s="34" t="str">
        <x:f>IFERROR(J38/L38,"")</x:f>
      </x:c>
      <x:c r="S38" s="17" t="str">
        <x:f>IF(A38="","",IF(J38&lt;=0,"缺货",IF(J38&lt;=K38,"低于安全库存",IF(J38&lt;=N38,"建议补货","正常"))))</x:f>
      </x:c>
      <x:c r="T38" s="17" t="str"/>
    </x:row>
    <x:row r="39">
      <x:c r="A39" s="17" t="str"/>
      <x:c r="B39" s="17" t="str"/>
      <x:c r="C39" s="17" t="str"/>
      <x:c r="D39" s="17" t="str"/>
      <x:c r="E39" s="32"/>
      <x:c r="F39" s="32" t="str">
        <x:f>IF(A39="","",SUMIFS('4_进货记录'!$E:$E,'4_进货记录'!$C:$C,A39,'4_进货记录'!$I:$I,"已入库"))</x:f>
      </x:c>
      <x:c r="G39" s="32"/>
      <x:c r="H39" s="32" t="str">
        <x:f>IF(A39="","",SUMIFS('5_盘点与报损'!$G:$G,'5_盘点与报损'!$B:$B,A39,'5_盘点与报损'!$C:$C,"报损"))</x:f>
      </x:c>
      <x:c r="I39" s="32"/>
      <x:c r="J39" s="32" t="n">
        <x:f>IF(I39&lt;&gt;"",I39,N(E39)+N(F39)-N(G39)-N(H39))</x:f>
        <x:v>0</x:v>
      </x:c>
      <x:c r="K39" s="32"/>
      <x:c r="L39" s="32"/>
      <x:c r="M39" s="32"/>
      <x:c r="N39" s="32" t="n">
        <x:f>N(K39)+N(L39)*N(M39)</x:f>
        <x:v>0</x:v>
      </x:c>
      <x:c r="O39" s="32" t="str">
        <x:f>IF(J39="","",MAX(0,N39-J39))</x:f>
      </x:c>
      <x:c r="P39" s="33"/>
      <x:c r="Q39" s="33" t="str">
        <x:f>IF(J39="","",J39*N(P39))</x:f>
      </x:c>
      <x:c r="R39" s="34" t="str">
        <x:f>IFERROR(J39/L39,"")</x:f>
      </x:c>
      <x:c r="S39" s="17" t="str">
        <x:f>IF(A39="","",IF(J39&lt;=0,"缺货",IF(J39&lt;=K39,"低于安全库存",IF(J39&lt;=N39,"建议补货","正常"))))</x:f>
      </x:c>
      <x:c r="T39" s="17" t="str"/>
    </x:row>
    <x:row r="40">
      <x:c r="A40" s="17" t="str"/>
      <x:c r="B40" s="17" t="str"/>
      <x:c r="C40" s="17" t="str"/>
      <x:c r="D40" s="17" t="str"/>
      <x:c r="E40" s="32"/>
      <x:c r="F40" s="32" t="str">
        <x:f>IF(A40="","",SUMIFS('4_进货记录'!$E:$E,'4_进货记录'!$C:$C,A40,'4_进货记录'!$I:$I,"已入库"))</x:f>
      </x:c>
      <x:c r="G40" s="32"/>
      <x:c r="H40" s="32" t="str">
        <x:f>IF(A40="","",SUMIFS('5_盘点与报损'!$G:$G,'5_盘点与报损'!$B:$B,A40,'5_盘点与报损'!$C:$C,"报损"))</x:f>
      </x:c>
      <x:c r="I40" s="32"/>
      <x:c r="J40" s="32" t="n">
        <x:f>IF(I40&lt;&gt;"",I40,N(E40)+N(F40)-N(G40)-N(H40))</x:f>
        <x:v>0</x:v>
      </x:c>
      <x:c r="K40" s="32"/>
      <x:c r="L40" s="32"/>
      <x:c r="M40" s="32"/>
      <x:c r="N40" s="32" t="n">
        <x:f>N(K40)+N(L40)*N(M40)</x:f>
        <x:v>0</x:v>
      </x:c>
      <x:c r="O40" s="32" t="str">
        <x:f>IF(J40="","",MAX(0,N40-J40))</x:f>
      </x:c>
      <x:c r="P40" s="33"/>
      <x:c r="Q40" s="33" t="str">
        <x:f>IF(J40="","",J40*N(P40))</x:f>
      </x:c>
      <x:c r="R40" s="34" t="str">
        <x:f>IFERROR(J40/L40,"")</x:f>
      </x:c>
      <x:c r="S40" s="17" t="str">
        <x:f>IF(A40="","",IF(J40&lt;=0,"缺货",IF(J40&lt;=K40,"低于安全库存",IF(J40&lt;=N40,"建议补货","正常"))))</x:f>
      </x:c>
      <x:c r="T40" s="17" t="str"/>
    </x:row>
    <x:row r="41">
      <x:c r="A41" s="17" t="str"/>
      <x:c r="B41" s="17" t="str"/>
      <x:c r="C41" s="17" t="str"/>
      <x:c r="D41" s="17" t="str"/>
      <x:c r="E41" s="32"/>
      <x:c r="F41" s="32" t="str">
        <x:f>IF(A41="","",SUMIFS('4_进货记录'!$E:$E,'4_进货记录'!$C:$C,A41,'4_进货记录'!$I:$I,"已入库"))</x:f>
      </x:c>
      <x:c r="G41" s="32"/>
      <x:c r="H41" s="32" t="str">
        <x:f>IF(A41="","",SUMIFS('5_盘点与报损'!$G:$G,'5_盘点与报损'!$B:$B,A41,'5_盘点与报损'!$C:$C,"报损"))</x:f>
      </x:c>
      <x:c r="I41" s="32"/>
      <x:c r="J41" s="32" t="n">
        <x:f>IF(I41&lt;&gt;"",I41,N(E41)+N(F41)-N(G41)-N(H41))</x:f>
        <x:v>0</x:v>
      </x:c>
      <x:c r="K41" s="32"/>
      <x:c r="L41" s="32"/>
      <x:c r="M41" s="32"/>
      <x:c r="N41" s="32" t="n">
        <x:f>N(K41)+N(L41)*N(M41)</x:f>
        <x:v>0</x:v>
      </x:c>
      <x:c r="O41" s="32" t="str">
        <x:f>IF(J41="","",MAX(0,N41-J41))</x:f>
      </x:c>
      <x:c r="P41" s="33"/>
      <x:c r="Q41" s="33" t="str">
        <x:f>IF(J41="","",J41*N(P41))</x:f>
      </x:c>
      <x:c r="R41" s="34" t="str">
        <x:f>IFERROR(J41/L41,"")</x:f>
      </x:c>
      <x:c r="S41" s="17" t="str">
        <x:f>IF(A41="","",IF(J41&lt;=0,"缺货",IF(J41&lt;=K41,"低于安全库存",IF(J41&lt;=N41,"建议补货","正常"))))</x:f>
      </x:c>
      <x:c r="T41" s="17" t="str"/>
    </x:row>
    <x:row r="42">
      <x:c r="A42" s="17" t="str"/>
      <x:c r="B42" s="17" t="str"/>
      <x:c r="C42" s="17" t="str"/>
      <x:c r="D42" s="17" t="str"/>
      <x:c r="E42" s="32"/>
      <x:c r="F42" s="32" t="str">
        <x:f>IF(A42="","",SUMIFS('4_进货记录'!$E:$E,'4_进货记录'!$C:$C,A42,'4_进货记录'!$I:$I,"已入库"))</x:f>
      </x:c>
      <x:c r="G42" s="32"/>
      <x:c r="H42" s="32" t="str">
        <x:f>IF(A42="","",SUMIFS('5_盘点与报损'!$G:$G,'5_盘点与报损'!$B:$B,A42,'5_盘点与报损'!$C:$C,"报损"))</x:f>
      </x:c>
      <x:c r="I42" s="32"/>
      <x:c r="J42" s="32" t="n">
        <x:f>IF(I42&lt;&gt;"",I42,N(E42)+N(F42)-N(G42)-N(H42))</x:f>
        <x:v>0</x:v>
      </x:c>
      <x:c r="K42" s="32"/>
      <x:c r="L42" s="32"/>
      <x:c r="M42" s="32"/>
      <x:c r="N42" s="32" t="n">
        <x:f>N(K42)+N(L42)*N(M42)</x:f>
        <x:v>0</x:v>
      </x:c>
      <x:c r="O42" s="32" t="str">
        <x:f>IF(J42="","",MAX(0,N42-J42))</x:f>
      </x:c>
      <x:c r="P42" s="33"/>
      <x:c r="Q42" s="33" t="str">
        <x:f>IF(J42="","",J42*N(P42))</x:f>
      </x:c>
      <x:c r="R42" s="34" t="str">
        <x:f>IFERROR(J42/L42,"")</x:f>
      </x:c>
      <x:c r="S42" s="17" t="str">
        <x:f>IF(A42="","",IF(J42&lt;=0,"缺货",IF(J42&lt;=K42,"低于安全库存",IF(J42&lt;=N42,"建议补货","正常"))))</x:f>
      </x:c>
      <x:c r="T42" s="17" t="str"/>
    </x:row>
    <x:row r="43">
      <x:c r="A43" s="17" t="str"/>
      <x:c r="B43" s="17" t="str"/>
      <x:c r="C43" s="17" t="str"/>
      <x:c r="D43" s="17" t="str"/>
      <x:c r="E43" s="32"/>
      <x:c r="F43" s="32" t="str">
        <x:f>IF(A43="","",SUMIFS('4_进货记录'!$E:$E,'4_进货记录'!$C:$C,A43,'4_进货记录'!$I:$I,"已入库"))</x:f>
      </x:c>
      <x:c r="G43" s="32"/>
      <x:c r="H43" s="32" t="str">
        <x:f>IF(A43="","",SUMIFS('5_盘点与报损'!$G:$G,'5_盘点与报损'!$B:$B,A43,'5_盘点与报损'!$C:$C,"报损"))</x:f>
      </x:c>
      <x:c r="I43" s="32"/>
      <x:c r="J43" s="32" t="n">
        <x:f>IF(I43&lt;&gt;"",I43,N(E43)+N(F43)-N(G43)-N(H43))</x:f>
        <x:v>0</x:v>
      </x:c>
      <x:c r="K43" s="32"/>
      <x:c r="L43" s="32"/>
      <x:c r="M43" s="32"/>
      <x:c r="N43" s="32" t="n">
        <x:f>N(K43)+N(L43)*N(M43)</x:f>
        <x:v>0</x:v>
      </x:c>
      <x:c r="O43" s="32" t="str">
        <x:f>IF(J43="","",MAX(0,N43-J43))</x:f>
      </x:c>
      <x:c r="P43" s="33"/>
      <x:c r="Q43" s="33" t="str">
        <x:f>IF(J43="","",J43*N(P43))</x:f>
      </x:c>
      <x:c r="R43" s="34" t="str">
        <x:f>IFERROR(J43/L43,"")</x:f>
      </x:c>
      <x:c r="S43" s="17" t="str">
        <x:f>IF(A43="","",IF(J43&lt;=0,"缺货",IF(J43&lt;=K43,"低于安全库存",IF(J43&lt;=N43,"建议补货","正常"))))</x:f>
      </x:c>
      <x:c r="T43" s="17" t="str"/>
    </x:row>
    <x:row r="44">
      <x:c r="A44" s="17" t="str"/>
      <x:c r="B44" s="17" t="str"/>
      <x:c r="C44" s="17" t="str"/>
      <x:c r="D44" s="17" t="str"/>
      <x:c r="E44" s="32"/>
      <x:c r="F44" s="32" t="str">
        <x:f>IF(A44="","",SUMIFS('4_进货记录'!$E:$E,'4_进货记录'!$C:$C,A44,'4_进货记录'!$I:$I,"已入库"))</x:f>
      </x:c>
      <x:c r="G44" s="32"/>
      <x:c r="H44" s="32" t="str">
        <x:f>IF(A44="","",SUMIFS('5_盘点与报损'!$G:$G,'5_盘点与报损'!$B:$B,A44,'5_盘点与报损'!$C:$C,"报损"))</x:f>
      </x:c>
      <x:c r="I44" s="32"/>
      <x:c r="J44" s="32" t="n">
        <x:f>IF(I44&lt;&gt;"",I44,N(E44)+N(F44)-N(G44)-N(H44))</x:f>
        <x:v>0</x:v>
      </x:c>
      <x:c r="K44" s="32"/>
      <x:c r="L44" s="32"/>
      <x:c r="M44" s="32"/>
      <x:c r="N44" s="32" t="n">
        <x:f>N(K44)+N(L44)*N(M44)</x:f>
        <x:v>0</x:v>
      </x:c>
      <x:c r="O44" s="32" t="str">
        <x:f>IF(J44="","",MAX(0,N44-J44))</x:f>
      </x:c>
      <x:c r="P44" s="33"/>
      <x:c r="Q44" s="33" t="str">
        <x:f>IF(J44="","",J44*N(P44))</x:f>
      </x:c>
      <x:c r="R44" s="34" t="str">
        <x:f>IFERROR(J44/L44,"")</x:f>
      </x:c>
      <x:c r="S44" s="17" t="str">
        <x:f>IF(A44="","",IF(J44&lt;=0,"缺货",IF(J44&lt;=K44,"低于安全库存",IF(J44&lt;=N44,"建议补货","正常"))))</x:f>
      </x:c>
      <x:c r="T44" s="17" t="str"/>
    </x:row>
    <x:row r="45">
      <x:c r="A45" s="17" t="str"/>
      <x:c r="B45" s="17" t="str"/>
      <x:c r="C45" s="17" t="str"/>
      <x:c r="D45" s="17" t="str"/>
      <x:c r="E45" s="32"/>
      <x:c r="F45" s="32" t="str">
        <x:f>IF(A45="","",SUMIFS('4_进货记录'!$E:$E,'4_进货记录'!$C:$C,A45,'4_进货记录'!$I:$I,"已入库"))</x:f>
      </x:c>
      <x:c r="G45" s="32"/>
      <x:c r="H45" s="32" t="str">
        <x:f>IF(A45="","",SUMIFS('5_盘点与报损'!$G:$G,'5_盘点与报损'!$B:$B,A45,'5_盘点与报损'!$C:$C,"报损"))</x:f>
      </x:c>
      <x:c r="I45" s="32"/>
      <x:c r="J45" s="32" t="n">
        <x:f>IF(I45&lt;&gt;"",I45,N(E45)+N(F45)-N(G45)-N(H45))</x:f>
        <x:v>0</x:v>
      </x:c>
      <x:c r="K45" s="32"/>
      <x:c r="L45" s="32"/>
      <x:c r="M45" s="32"/>
      <x:c r="N45" s="32" t="n">
        <x:f>N(K45)+N(L45)*N(M45)</x:f>
        <x:v>0</x:v>
      </x:c>
      <x:c r="O45" s="32" t="str">
        <x:f>IF(J45="","",MAX(0,N45-J45))</x:f>
      </x:c>
      <x:c r="P45" s="33"/>
      <x:c r="Q45" s="33" t="str">
        <x:f>IF(J45="","",J45*N(P45))</x:f>
      </x:c>
      <x:c r="R45" s="34" t="str">
        <x:f>IFERROR(J45/L45,"")</x:f>
      </x:c>
      <x:c r="S45" s="17" t="str">
        <x:f>IF(A45="","",IF(J45&lt;=0,"缺货",IF(J45&lt;=K45,"低于安全库存",IF(J45&lt;=N45,"建议补货","正常"))))</x:f>
      </x:c>
      <x:c r="T45" s="17" t="str"/>
    </x:row>
    <x:row r="46">
      <x:c r="A46" s="17" t="str"/>
      <x:c r="B46" s="17" t="str"/>
      <x:c r="C46" s="17" t="str"/>
      <x:c r="D46" s="17" t="str"/>
      <x:c r="E46" s="32"/>
      <x:c r="F46" s="32" t="str">
        <x:f>IF(A46="","",SUMIFS('4_进货记录'!$E:$E,'4_进货记录'!$C:$C,A46,'4_进货记录'!$I:$I,"已入库"))</x:f>
      </x:c>
      <x:c r="G46" s="32"/>
      <x:c r="H46" s="32" t="str">
        <x:f>IF(A46="","",SUMIFS('5_盘点与报损'!$G:$G,'5_盘点与报损'!$B:$B,A46,'5_盘点与报损'!$C:$C,"报损"))</x:f>
      </x:c>
      <x:c r="I46" s="32"/>
      <x:c r="J46" s="32" t="n">
        <x:f>IF(I46&lt;&gt;"",I46,N(E46)+N(F46)-N(G46)-N(H46))</x:f>
        <x:v>0</x:v>
      </x:c>
      <x:c r="K46" s="32"/>
      <x:c r="L46" s="32"/>
      <x:c r="M46" s="32"/>
      <x:c r="N46" s="32" t="n">
        <x:f>N(K46)+N(L46)*N(M46)</x:f>
        <x:v>0</x:v>
      </x:c>
      <x:c r="O46" s="32" t="str">
        <x:f>IF(J46="","",MAX(0,N46-J46))</x:f>
      </x:c>
      <x:c r="P46" s="33"/>
      <x:c r="Q46" s="33" t="str">
        <x:f>IF(J46="","",J46*N(P46))</x:f>
      </x:c>
      <x:c r="R46" s="34" t="str">
        <x:f>IFERROR(J46/L46,"")</x:f>
      </x:c>
      <x:c r="S46" s="17" t="str">
        <x:f>IF(A46="","",IF(J46&lt;=0,"缺货",IF(J46&lt;=K46,"低于安全库存",IF(J46&lt;=N46,"建议补货","正常"))))</x:f>
      </x:c>
      <x:c r="T46" s="17" t="str"/>
    </x:row>
    <x:row r="47">
      <x:c r="A47" s="17" t="str"/>
      <x:c r="B47" s="17" t="str"/>
      <x:c r="C47" s="17" t="str"/>
      <x:c r="D47" s="17" t="str"/>
      <x:c r="E47" s="32"/>
      <x:c r="F47" s="32" t="str">
        <x:f>IF(A47="","",SUMIFS('4_进货记录'!$E:$E,'4_进货记录'!$C:$C,A47,'4_进货记录'!$I:$I,"已入库"))</x:f>
      </x:c>
      <x:c r="G47" s="32"/>
      <x:c r="H47" s="32" t="str">
        <x:f>IF(A47="","",SUMIFS('5_盘点与报损'!$G:$G,'5_盘点与报损'!$B:$B,A47,'5_盘点与报损'!$C:$C,"报损"))</x:f>
      </x:c>
      <x:c r="I47" s="32"/>
      <x:c r="J47" s="32" t="n">
        <x:f>IF(I47&lt;&gt;"",I47,N(E47)+N(F47)-N(G47)-N(H47))</x:f>
        <x:v>0</x:v>
      </x:c>
      <x:c r="K47" s="32"/>
      <x:c r="L47" s="32"/>
      <x:c r="M47" s="32"/>
      <x:c r="N47" s="32" t="n">
        <x:f>N(K47)+N(L47)*N(M47)</x:f>
        <x:v>0</x:v>
      </x:c>
      <x:c r="O47" s="32" t="str">
        <x:f>IF(J47="","",MAX(0,N47-J47))</x:f>
      </x:c>
      <x:c r="P47" s="33"/>
      <x:c r="Q47" s="33" t="str">
        <x:f>IF(J47="","",J47*N(P47))</x:f>
      </x:c>
      <x:c r="R47" s="34" t="str">
        <x:f>IFERROR(J47/L47,"")</x:f>
      </x:c>
      <x:c r="S47" s="17" t="str">
        <x:f>IF(A47="","",IF(J47&lt;=0,"缺货",IF(J47&lt;=K47,"低于安全库存",IF(J47&lt;=N47,"建议补货","正常"))))</x:f>
      </x:c>
      <x:c r="T47" s="17" t="str"/>
    </x:row>
    <x:row r="48">
      <x:c r="A48" s="17" t="str"/>
      <x:c r="B48" s="17" t="str"/>
      <x:c r="C48" s="17" t="str"/>
      <x:c r="D48" s="17" t="str"/>
      <x:c r="E48" s="32"/>
      <x:c r="F48" s="32" t="str">
        <x:f>IF(A48="","",SUMIFS('4_进货记录'!$E:$E,'4_进货记录'!$C:$C,A48,'4_进货记录'!$I:$I,"已入库"))</x:f>
      </x:c>
      <x:c r="G48" s="32"/>
      <x:c r="H48" s="32" t="str">
        <x:f>IF(A48="","",SUMIFS('5_盘点与报损'!$G:$G,'5_盘点与报损'!$B:$B,A48,'5_盘点与报损'!$C:$C,"报损"))</x:f>
      </x:c>
      <x:c r="I48" s="32"/>
      <x:c r="J48" s="32" t="n">
        <x:f>IF(I48&lt;&gt;"",I48,N(E48)+N(F48)-N(G48)-N(H48))</x:f>
        <x:v>0</x:v>
      </x:c>
      <x:c r="K48" s="32"/>
      <x:c r="L48" s="32"/>
      <x:c r="M48" s="32"/>
      <x:c r="N48" s="32" t="n">
        <x:f>N(K48)+N(L48)*N(M48)</x:f>
        <x:v>0</x:v>
      </x:c>
      <x:c r="O48" s="32" t="str">
        <x:f>IF(J48="","",MAX(0,N48-J48))</x:f>
      </x:c>
      <x:c r="P48" s="33"/>
      <x:c r="Q48" s="33" t="str">
        <x:f>IF(J48="","",J48*N(P48))</x:f>
      </x:c>
      <x:c r="R48" s="34" t="str">
        <x:f>IFERROR(J48/L48,"")</x:f>
      </x:c>
      <x:c r="S48" s="17" t="str">
        <x:f>IF(A48="","",IF(J48&lt;=0,"缺货",IF(J48&lt;=K48,"低于安全库存",IF(J48&lt;=N48,"建议补货","正常"))))</x:f>
      </x:c>
      <x:c r="T48" s="17" t="str"/>
    </x:row>
    <x:row r="49">
      <x:c r="A49" s="17" t="str"/>
      <x:c r="B49" s="17" t="str"/>
      <x:c r="C49" s="17" t="str"/>
      <x:c r="D49" s="17" t="str"/>
      <x:c r="E49" s="32"/>
      <x:c r="F49" s="32" t="str">
        <x:f>IF(A49="","",SUMIFS('4_进货记录'!$E:$E,'4_进货记录'!$C:$C,A49,'4_进货记录'!$I:$I,"已入库"))</x:f>
      </x:c>
      <x:c r="G49" s="32"/>
      <x:c r="H49" s="32" t="str">
        <x:f>IF(A49="","",SUMIFS('5_盘点与报损'!$G:$G,'5_盘点与报损'!$B:$B,A49,'5_盘点与报损'!$C:$C,"报损"))</x:f>
      </x:c>
      <x:c r="I49" s="32"/>
      <x:c r="J49" s="32" t="n">
        <x:f>IF(I49&lt;&gt;"",I49,N(E49)+N(F49)-N(G49)-N(H49))</x:f>
        <x:v>0</x:v>
      </x:c>
      <x:c r="K49" s="32"/>
      <x:c r="L49" s="32"/>
      <x:c r="M49" s="32"/>
      <x:c r="N49" s="32" t="n">
        <x:f>N(K49)+N(L49)*N(M49)</x:f>
        <x:v>0</x:v>
      </x:c>
      <x:c r="O49" s="32" t="str">
        <x:f>IF(J49="","",MAX(0,N49-J49))</x:f>
      </x:c>
      <x:c r="P49" s="33"/>
      <x:c r="Q49" s="33" t="str">
        <x:f>IF(J49="","",J49*N(P49))</x:f>
      </x:c>
      <x:c r="R49" s="34" t="str">
        <x:f>IFERROR(J49/L49,"")</x:f>
      </x:c>
      <x:c r="S49" s="17" t="str">
        <x:f>IF(A49="","",IF(J49&lt;=0,"缺货",IF(J49&lt;=K49,"低于安全库存",IF(J49&lt;=N49,"建议补货","正常"))))</x:f>
      </x:c>
      <x:c r="T49" s="17" t="str"/>
    </x:row>
    <x:row r="50">
      <x:c r="A50" s="17" t="str"/>
      <x:c r="B50" s="17" t="str"/>
      <x:c r="C50" s="17" t="str"/>
      <x:c r="D50" s="17" t="str"/>
      <x:c r="E50" s="32"/>
      <x:c r="F50" s="32" t="str">
        <x:f>IF(A50="","",SUMIFS('4_进货记录'!$E:$E,'4_进货记录'!$C:$C,A50,'4_进货记录'!$I:$I,"已入库"))</x:f>
      </x:c>
      <x:c r="G50" s="32"/>
      <x:c r="H50" s="32" t="str">
        <x:f>IF(A50="","",SUMIFS('5_盘点与报损'!$G:$G,'5_盘点与报损'!$B:$B,A50,'5_盘点与报损'!$C:$C,"报损"))</x:f>
      </x:c>
      <x:c r="I50" s="32"/>
      <x:c r="J50" s="32" t="n">
        <x:f>IF(I50&lt;&gt;"",I50,N(E50)+N(F50)-N(G50)-N(H50))</x:f>
        <x:v>0</x:v>
      </x:c>
      <x:c r="K50" s="32"/>
      <x:c r="L50" s="32"/>
      <x:c r="M50" s="32"/>
      <x:c r="N50" s="32" t="n">
        <x:f>N(K50)+N(L50)*N(M50)</x:f>
        <x:v>0</x:v>
      </x:c>
      <x:c r="O50" s="32" t="str">
        <x:f>IF(J50="","",MAX(0,N50-J50))</x:f>
      </x:c>
      <x:c r="P50" s="33"/>
      <x:c r="Q50" s="33" t="str">
        <x:f>IF(J50="","",J50*N(P50))</x:f>
      </x:c>
      <x:c r="R50" s="34" t="str">
        <x:f>IFERROR(J50/L50,"")</x:f>
      </x:c>
      <x:c r="S50" s="17" t="str">
        <x:f>IF(A50="","",IF(J50&lt;=0,"缺货",IF(J50&lt;=K50,"低于安全库存",IF(J50&lt;=N50,"建议补货","正常"))))</x:f>
      </x:c>
      <x:c r="T50" s="17" t="str"/>
    </x:row>
    <x:row r="51">
      <x:c r="A51" s="17" t="str"/>
      <x:c r="B51" s="17" t="str"/>
      <x:c r="C51" s="17" t="str"/>
      <x:c r="D51" s="17" t="str"/>
      <x:c r="E51" s="32"/>
      <x:c r="F51" s="32" t="str">
        <x:f>IF(A51="","",SUMIFS('4_进货记录'!$E:$E,'4_进货记录'!$C:$C,A51,'4_进货记录'!$I:$I,"已入库"))</x:f>
      </x:c>
      <x:c r="G51" s="32"/>
      <x:c r="H51" s="32" t="str">
        <x:f>IF(A51="","",SUMIFS('5_盘点与报损'!$G:$G,'5_盘点与报损'!$B:$B,A51,'5_盘点与报损'!$C:$C,"报损"))</x:f>
      </x:c>
      <x:c r="I51" s="32"/>
      <x:c r="J51" s="32" t="n">
        <x:f>IF(I51&lt;&gt;"",I51,N(E51)+N(F51)-N(G51)-N(H51))</x:f>
        <x:v>0</x:v>
      </x:c>
      <x:c r="K51" s="32"/>
      <x:c r="L51" s="32"/>
      <x:c r="M51" s="32"/>
      <x:c r="N51" s="32" t="n">
        <x:f>N(K51)+N(L51)*N(M51)</x:f>
        <x:v>0</x:v>
      </x:c>
      <x:c r="O51" s="32" t="str">
        <x:f>IF(J51="","",MAX(0,N51-J51))</x:f>
      </x:c>
      <x:c r="P51" s="33"/>
      <x:c r="Q51" s="33" t="str">
        <x:f>IF(J51="","",J51*N(P51))</x:f>
      </x:c>
      <x:c r="R51" s="34" t="str">
        <x:f>IFERROR(J51/L51,"")</x:f>
      </x:c>
      <x:c r="S51" s="17" t="str">
        <x:f>IF(A51="","",IF(J51&lt;=0,"缺货",IF(J51&lt;=K51,"低于安全库存",IF(J51&lt;=N51,"建议补货","正常"))))</x:f>
      </x:c>
      <x:c r="T51" s="17" t="str"/>
    </x:row>
    <x:row r="52">
      <x:c r="A52" s="17" t="str"/>
      <x:c r="B52" s="17" t="str"/>
      <x:c r="C52" s="17" t="str"/>
      <x:c r="D52" s="17" t="str"/>
      <x:c r="E52" s="32"/>
      <x:c r="F52" s="32" t="str">
        <x:f>IF(A52="","",SUMIFS('4_进货记录'!$E:$E,'4_进货记录'!$C:$C,A52,'4_进货记录'!$I:$I,"已入库"))</x:f>
      </x:c>
      <x:c r="G52" s="32"/>
      <x:c r="H52" s="32" t="str">
        <x:f>IF(A52="","",SUMIFS('5_盘点与报损'!$G:$G,'5_盘点与报损'!$B:$B,A52,'5_盘点与报损'!$C:$C,"报损"))</x:f>
      </x:c>
      <x:c r="I52" s="32"/>
      <x:c r="J52" s="32" t="n">
        <x:f>IF(I52&lt;&gt;"",I52,N(E52)+N(F52)-N(G52)-N(H52))</x:f>
        <x:v>0</x:v>
      </x:c>
      <x:c r="K52" s="32"/>
      <x:c r="L52" s="32"/>
      <x:c r="M52" s="32"/>
      <x:c r="N52" s="32" t="n">
        <x:f>N(K52)+N(L52)*N(M52)</x:f>
        <x:v>0</x:v>
      </x:c>
      <x:c r="O52" s="32" t="str">
        <x:f>IF(J52="","",MAX(0,N52-J52))</x:f>
      </x:c>
      <x:c r="P52" s="33"/>
      <x:c r="Q52" s="33" t="str">
        <x:f>IF(J52="","",J52*N(P52))</x:f>
      </x:c>
      <x:c r="R52" s="34" t="str">
        <x:f>IFERROR(J52/L52,"")</x:f>
      </x:c>
      <x:c r="S52" s="17" t="str">
        <x:f>IF(A52="","",IF(J52&lt;=0,"缺货",IF(J52&lt;=K52,"低于安全库存",IF(J52&lt;=N52,"建议补货","正常"))))</x:f>
      </x:c>
      <x:c r="T52" s="17" t="str"/>
    </x:row>
    <x:row r="53">
      <x:c r="A53" s="17" t="str"/>
      <x:c r="B53" s="17" t="str"/>
      <x:c r="C53" s="17" t="str"/>
      <x:c r="D53" s="17" t="str"/>
      <x:c r="E53" s="32"/>
      <x:c r="F53" s="32" t="str">
        <x:f>IF(A53="","",SUMIFS('4_进货记录'!$E:$E,'4_进货记录'!$C:$C,A53,'4_进货记录'!$I:$I,"已入库"))</x:f>
      </x:c>
      <x:c r="G53" s="32"/>
      <x:c r="H53" s="32" t="str">
        <x:f>IF(A53="","",SUMIFS('5_盘点与报损'!$G:$G,'5_盘点与报损'!$B:$B,A53,'5_盘点与报损'!$C:$C,"报损"))</x:f>
      </x:c>
      <x:c r="I53" s="32"/>
      <x:c r="J53" s="32" t="n">
        <x:f>IF(I53&lt;&gt;"",I53,N(E53)+N(F53)-N(G53)-N(H53))</x:f>
        <x:v>0</x:v>
      </x:c>
      <x:c r="K53" s="32"/>
      <x:c r="L53" s="32"/>
      <x:c r="M53" s="32"/>
      <x:c r="N53" s="32" t="n">
        <x:f>N(K53)+N(L53)*N(M53)</x:f>
        <x:v>0</x:v>
      </x:c>
      <x:c r="O53" s="32" t="str">
        <x:f>IF(J53="","",MAX(0,N53-J53))</x:f>
      </x:c>
      <x:c r="P53" s="33"/>
      <x:c r="Q53" s="33" t="str">
        <x:f>IF(J53="","",J53*N(P53))</x:f>
      </x:c>
      <x:c r="R53" s="34" t="str">
        <x:f>IFERROR(J53/L53,"")</x:f>
      </x:c>
      <x:c r="S53" s="17" t="str">
        <x:f>IF(A53="","",IF(J53&lt;=0,"缺货",IF(J53&lt;=K53,"低于安全库存",IF(J53&lt;=N53,"建议补货","正常"))))</x:f>
      </x:c>
      <x:c r="T53" s="17" t="str"/>
    </x:row>
    <x:row r="54">
      <x:c r="A54" s="17" t="str"/>
      <x:c r="B54" s="17" t="str"/>
      <x:c r="C54" s="17" t="str"/>
      <x:c r="D54" s="17" t="str"/>
      <x:c r="E54" s="32"/>
      <x:c r="F54" s="32" t="str">
        <x:f>IF(A54="","",SUMIFS('4_进货记录'!$E:$E,'4_进货记录'!$C:$C,A54,'4_进货记录'!$I:$I,"已入库"))</x:f>
      </x:c>
      <x:c r="G54" s="32"/>
      <x:c r="H54" s="32" t="str">
        <x:f>IF(A54="","",SUMIFS('5_盘点与报损'!$G:$G,'5_盘点与报损'!$B:$B,A54,'5_盘点与报损'!$C:$C,"报损"))</x:f>
      </x:c>
      <x:c r="I54" s="32"/>
      <x:c r="J54" s="32" t="n">
        <x:f>IF(I54&lt;&gt;"",I54,N(E54)+N(F54)-N(G54)-N(H54))</x:f>
        <x:v>0</x:v>
      </x:c>
      <x:c r="K54" s="32"/>
      <x:c r="L54" s="32"/>
      <x:c r="M54" s="32"/>
      <x:c r="N54" s="32" t="n">
        <x:f>N(K54)+N(L54)*N(M54)</x:f>
        <x:v>0</x:v>
      </x:c>
      <x:c r="O54" s="32" t="str">
        <x:f>IF(J54="","",MAX(0,N54-J54))</x:f>
      </x:c>
      <x:c r="P54" s="33"/>
      <x:c r="Q54" s="33" t="str">
        <x:f>IF(J54="","",J54*N(P54))</x:f>
      </x:c>
      <x:c r="R54" s="34" t="str">
        <x:f>IFERROR(J54/L54,"")</x:f>
      </x:c>
      <x:c r="S54" s="17" t="str">
        <x:f>IF(A54="","",IF(J54&lt;=0,"缺货",IF(J54&lt;=K54,"低于安全库存",IF(J54&lt;=N54,"建议补货","正常"))))</x:f>
      </x:c>
      <x:c r="T54" s="17" t="str"/>
    </x:row>
    <x:row r="55">
      <x:c r="A55" s="17" t="str"/>
      <x:c r="B55" s="17" t="str"/>
      <x:c r="C55" s="17" t="str"/>
      <x:c r="D55" s="17" t="str"/>
      <x:c r="E55" s="32"/>
      <x:c r="F55" s="32" t="str">
        <x:f>IF(A55="","",SUMIFS('4_进货记录'!$E:$E,'4_进货记录'!$C:$C,A55,'4_进货记录'!$I:$I,"已入库"))</x:f>
      </x:c>
      <x:c r="G55" s="32"/>
      <x:c r="H55" s="32" t="str">
        <x:f>IF(A55="","",SUMIFS('5_盘点与报损'!$G:$G,'5_盘点与报损'!$B:$B,A55,'5_盘点与报损'!$C:$C,"报损"))</x:f>
      </x:c>
      <x:c r="I55" s="32"/>
      <x:c r="J55" s="32" t="n">
        <x:f>IF(I55&lt;&gt;"",I55,N(E55)+N(F55)-N(G55)-N(H55))</x:f>
        <x:v>0</x:v>
      </x:c>
      <x:c r="K55" s="32"/>
      <x:c r="L55" s="32"/>
      <x:c r="M55" s="32"/>
      <x:c r="N55" s="32" t="n">
        <x:f>N(K55)+N(L55)*N(M55)</x:f>
        <x:v>0</x:v>
      </x:c>
      <x:c r="O55" s="32" t="str">
        <x:f>IF(J55="","",MAX(0,N55-J55))</x:f>
      </x:c>
      <x:c r="P55" s="33"/>
      <x:c r="Q55" s="33" t="str">
        <x:f>IF(J55="","",J55*N(P55))</x:f>
      </x:c>
      <x:c r="R55" s="34" t="str">
        <x:f>IFERROR(J55/L55,"")</x:f>
      </x:c>
      <x:c r="S55" s="17" t="str">
        <x:f>IF(A55="","",IF(J55&lt;=0,"缺货",IF(J55&lt;=K55,"低于安全库存",IF(J55&lt;=N55,"建议补货","正常"))))</x:f>
      </x:c>
      <x:c r="T55" s="17" t="str"/>
    </x:row>
    <x:row r="56">
      <x:c r="A56" s="17" t="str"/>
      <x:c r="B56" s="17" t="str"/>
      <x:c r="C56" s="17" t="str"/>
      <x:c r="D56" s="17" t="str"/>
      <x:c r="E56" s="32"/>
      <x:c r="F56" s="32" t="str">
        <x:f>IF(A56="","",SUMIFS('4_进货记录'!$E:$E,'4_进货记录'!$C:$C,A56,'4_进货记录'!$I:$I,"已入库"))</x:f>
      </x:c>
      <x:c r="G56" s="32"/>
      <x:c r="H56" s="32" t="str">
        <x:f>IF(A56="","",SUMIFS('5_盘点与报损'!$G:$G,'5_盘点与报损'!$B:$B,A56,'5_盘点与报损'!$C:$C,"报损"))</x:f>
      </x:c>
      <x:c r="I56" s="32"/>
      <x:c r="J56" s="32" t="n">
        <x:f>IF(I56&lt;&gt;"",I56,N(E56)+N(F56)-N(G56)-N(H56))</x:f>
        <x:v>0</x:v>
      </x:c>
      <x:c r="K56" s="32"/>
      <x:c r="L56" s="32"/>
      <x:c r="M56" s="32"/>
      <x:c r="N56" s="32" t="n">
        <x:f>N(K56)+N(L56)*N(M56)</x:f>
        <x:v>0</x:v>
      </x:c>
      <x:c r="O56" s="32" t="str">
        <x:f>IF(J56="","",MAX(0,N56-J56))</x:f>
      </x:c>
      <x:c r="P56" s="33"/>
      <x:c r="Q56" s="33" t="str">
        <x:f>IF(J56="","",J56*N(P56))</x:f>
      </x:c>
      <x:c r="R56" s="34" t="str">
        <x:f>IFERROR(J56/L56,"")</x:f>
      </x:c>
      <x:c r="S56" s="17" t="str">
        <x:f>IF(A56="","",IF(J56&lt;=0,"缺货",IF(J56&lt;=K56,"低于安全库存",IF(J56&lt;=N56,"建议补货","正常"))))</x:f>
      </x:c>
      <x:c r="T56" s="17" t="str"/>
    </x:row>
    <x:row r="57">
      <x:c r="A57" s="17" t="str"/>
      <x:c r="B57" s="17" t="str"/>
      <x:c r="C57" s="17" t="str"/>
      <x:c r="D57" s="17" t="str"/>
      <x:c r="E57" s="32"/>
      <x:c r="F57" s="32" t="str">
        <x:f>IF(A57="","",SUMIFS('4_进货记录'!$E:$E,'4_进货记录'!$C:$C,A57,'4_进货记录'!$I:$I,"已入库"))</x:f>
      </x:c>
      <x:c r="G57" s="32"/>
      <x:c r="H57" s="32" t="str">
        <x:f>IF(A57="","",SUMIFS('5_盘点与报损'!$G:$G,'5_盘点与报损'!$B:$B,A57,'5_盘点与报损'!$C:$C,"报损"))</x:f>
      </x:c>
      <x:c r="I57" s="32"/>
      <x:c r="J57" s="32" t="n">
        <x:f>IF(I57&lt;&gt;"",I57,N(E57)+N(F57)-N(G57)-N(H57))</x:f>
        <x:v>0</x:v>
      </x:c>
      <x:c r="K57" s="32"/>
      <x:c r="L57" s="32"/>
      <x:c r="M57" s="32"/>
      <x:c r="N57" s="32" t="n">
        <x:f>N(K57)+N(L57)*N(M57)</x:f>
        <x:v>0</x:v>
      </x:c>
      <x:c r="O57" s="32" t="str">
        <x:f>IF(J57="","",MAX(0,N57-J57))</x:f>
      </x:c>
      <x:c r="P57" s="33"/>
      <x:c r="Q57" s="33" t="str">
        <x:f>IF(J57="","",J57*N(P57))</x:f>
      </x:c>
      <x:c r="R57" s="34" t="str">
        <x:f>IFERROR(J57/L57,"")</x:f>
      </x:c>
      <x:c r="S57" s="17" t="str">
        <x:f>IF(A57="","",IF(J57&lt;=0,"缺货",IF(J57&lt;=K57,"低于安全库存",IF(J57&lt;=N57,"建议补货","正常"))))</x:f>
      </x:c>
      <x:c r="T57" s="17" t="str"/>
    </x:row>
    <x:row r="58">
      <x:c r="A58" s="17" t="str"/>
      <x:c r="B58" s="17" t="str"/>
      <x:c r="C58" s="17" t="str"/>
      <x:c r="D58" s="17" t="str"/>
      <x:c r="E58" s="32"/>
      <x:c r="F58" s="32" t="str">
        <x:f>IF(A58="","",SUMIFS('4_进货记录'!$E:$E,'4_进货记录'!$C:$C,A58,'4_进货记录'!$I:$I,"已入库"))</x:f>
      </x:c>
      <x:c r="G58" s="32"/>
      <x:c r="H58" s="32" t="str">
        <x:f>IF(A58="","",SUMIFS('5_盘点与报损'!$G:$G,'5_盘点与报损'!$B:$B,A58,'5_盘点与报损'!$C:$C,"报损"))</x:f>
      </x:c>
      <x:c r="I58" s="32"/>
      <x:c r="J58" s="32" t="n">
        <x:f>IF(I58&lt;&gt;"",I58,N(E58)+N(F58)-N(G58)-N(H58))</x:f>
        <x:v>0</x:v>
      </x:c>
      <x:c r="K58" s="32"/>
      <x:c r="L58" s="32"/>
      <x:c r="M58" s="32"/>
      <x:c r="N58" s="32" t="n">
        <x:f>N(K58)+N(L58)*N(M58)</x:f>
        <x:v>0</x:v>
      </x:c>
      <x:c r="O58" s="32" t="str">
        <x:f>IF(J58="","",MAX(0,N58-J58))</x:f>
      </x:c>
      <x:c r="P58" s="33"/>
      <x:c r="Q58" s="33" t="str">
        <x:f>IF(J58="","",J58*N(P58))</x:f>
      </x:c>
      <x:c r="R58" s="34" t="str">
        <x:f>IFERROR(J58/L58,"")</x:f>
      </x:c>
      <x:c r="S58" s="17" t="str">
        <x:f>IF(A58="","",IF(J58&lt;=0,"缺货",IF(J58&lt;=K58,"低于安全库存",IF(J58&lt;=N58,"建议补货","正常"))))</x:f>
      </x:c>
      <x:c r="T58" s="17" t="str"/>
    </x:row>
    <x:row r="59">
      <x:c r="A59" s="17" t="str"/>
      <x:c r="B59" s="17" t="str"/>
      <x:c r="C59" s="17" t="str"/>
      <x:c r="D59" s="17" t="str"/>
      <x:c r="E59" s="32"/>
      <x:c r="F59" s="32" t="str">
        <x:f>IF(A59="","",SUMIFS('4_进货记录'!$E:$E,'4_进货记录'!$C:$C,A59,'4_进货记录'!$I:$I,"已入库"))</x:f>
      </x:c>
      <x:c r="G59" s="32"/>
      <x:c r="H59" s="32" t="str">
        <x:f>IF(A59="","",SUMIFS('5_盘点与报损'!$G:$G,'5_盘点与报损'!$B:$B,A59,'5_盘点与报损'!$C:$C,"报损"))</x:f>
      </x:c>
      <x:c r="I59" s="32"/>
      <x:c r="J59" s="32" t="n">
        <x:f>IF(I59&lt;&gt;"",I59,N(E59)+N(F59)-N(G59)-N(H59))</x:f>
        <x:v>0</x:v>
      </x:c>
      <x:c r="K59" s="32"/>
      <x:c r="L59" s="32"/>
      <x:c r="M59" s="32"/>
      <x:c r="N59" s="32" t="n">
        <x:f>N(K59)+N(L59)*N(M59)</x:f>
        <x:v>0</x:v>
      </x:c>
      <x:c r="O59" s="32" t="str">
        <x:f>IF(J59="","",MAX(0,N59-J59))</x:f>
      </x:c>
      <x:c r="P59" s="33"/>
      <x:c r="Q59" s="33" t="str">
        <x:f>IF(J59="","",J59*N(P59))</x:f>
      </x:c>
      <x:c r="R59" s="34" t="str">
        <x:f>IFERROR(J59/L59,"")</x:f>
      </x:c>
      <x:c r="S59" s="17" t="str">
        <x:f>IF(A59="","",IF(J59&lt;=0,"缺货",IF(J59&lt;=K59,"低于安全库存",IF(J59&lt;=N59,"建议补货","正常"))))</x:f>
      </x:c>
      <x:c r="T59" s="17" t="str"/>
    </x:row>
    <x:row r="60">
      <x:c r="A60" s="17" t="str"/>
      <x:c r="B60" s="17" t="str"/>
      <x:c r="C60" s="17" t="str"/>
      <x:c r="D60" s="17" t="str"/>
      <x:c r="E60" s="32"/>
      <x:c r="F60" s="32" t="str">
        <x:f>IF(A60="","",SUMIFS('4_进货记录'!$E:$E,'4_进货记录'!$C:$C,A60,'4_进货记录'!$I:$I,"已入库"))</x:f>
      </x:c>
      <x:c r="G60" s="32"/>
      <x:c r="H60" s="32" t="str">
        <x:f>IF(A60="","",SUMIFS('5_盘点与报损'!$G:$G,'5_盘点与报损'!$B:$B,A60,'5_盘点与报损'!$C:$C,"报损"))</x:f>
      </x:c>
      <x:c r="I60" s="32"/>
      <x:c r="J60" s="32" t="n">
        <x:f>IF(I60&lt;&gt;"",I60,N(E60)+N(F60)-N(G60)-N(H60))</x:f>
        <x:v>0</x:v>
      </x:c>
      <x:c r="K60" s="32"/>
      <x:c r="L60" s="32"/>
      <x:c r="M60" s="32"/>
      <x:c r="N60" s="32" t="n">
        <x:f>N(K60)+N(L60)*N(M60)</x:f>
        <x:v>0</x:v>
      </x:c>
      <x:c r="O60" s="32" t="str">
        <x:f>IF(J60="","",MAX(0,N60-J60))</x:f>
      </x:c>
      <x:c r="P60" s="33"/>
      <x:c r="Q60" s="33" t="str">
        <x:f>IF(J60="","",J60*N(P60))</x:f>
      </x:c>
      <x:c r="R60" s="34" t="str">
        <x:f>IFERROR(J60/L60,"")</x:f>
      </x:c>
      <x:c r="S60" s="17" t="str">
        <x:f>IF(A60="","",IF(J60&lt;=0,"缺货",IF(J60&lt;=K60,"低于安全库存",IF(J60&lt;=N60,"建议补货","正常"))))</x:f>
      </x:c>
      <x:c r="T60" s="17" t="str"/>
    </x:row>
    <x:row r="61">
      <x:c r="A61" s="17" t="str"/>
      <x:c r="B61" s="17" t="str"/>
      <x:c r="C61" s="17" t="str"/>
      <x:c r="D61" s="17" t="str"/>
      <x:c r="E61" s="32"/>
      <x:c r="F61" s="32" t="str">
        <x:f>IF(A61="","",SUMIFS('4_进货记录'!$E:$E,'4_进货记录'!$C:$C,A61,'4_进货记录'!$I:$I,"已入库"))</x:f>
      </x:c>
      <x:c r="G61" s="32"/>
      <x:c r="H61" s="32" t="str">
        <x:f>IF(A61="","",SUMIFS('5_盘点与报损'!$G:$G,'5_盘点与报损'!$B:$B,A61,'5_盘点与报损'!$C:$C,"报损"))</x:f>
      </x:c>
      <x:c r="I61" s="32"/>
      <x:c r="J61" s="32" t="n">
        <x:f>IF(I61&lt;&gt;"",I61,N(E61)+N(F61)-N(G61)-N(H61))</x:f>
        <x:v>0</x:v>
      </x:c>
      <x:c r="K61" s="32"/>
      <x:c r="L61" s="32"/>
      <x:c r="M61" s="32"/>
      <x:c r="N61" s="32" t="n">
        <x:f>N(K61)+N(L61)*N(M61)</x:f>
        <x:v>0</x:v>
      </x:c>
      <x:c r="O61" s="32" t="str">
        <x:f>IF(J61="","",MAX(0,N61-J61))</x:f>
      </x:c>
      <x:c r="P61" s="33"/>
      <x:c r="Q61" s="33" t="str">
        <x:f>IF(J61="","",J61*N(P61))</x:f>
      </x:c>
      <x:c r="R61" s="34" t="str">
        <x:f>IFERROR(J61/L61,"")</x:f>
      </x:c>
      <x:c r="S61" s="17" t="str">
        <x:f>IF(A61="","",IF(J61&lt;=0,"缺货",IF(J61&lt;=K61,"低于安全库存",IF(J61&lt;=N61,"建议补货","正常"))))</x:f>
      </x:c>
      <x:c r="T61" s="17" t="str"/>
    </x:row>
    <x:row r="62">
      <x:c r="A62" s="17" t="str"/>
      <x:c r="B62" s="17" t="str"/>
      <x:c r="C62" s="17" t="str"/>
      <x:c r="D62" s="17" t="str"/>
      <x:c r="E62" s="32"/>
      <x:c r="F62" s="32" t="str">
        <x:f>IF(A62="","",SUMIFS('4_进货记录'!$E:$E,'4_进货记录'!$C:$C,A62,'4_进货记录'!$I:$I,"已入库"))</x:f>
      </x:c>
      <x:c r="G62" s="32"/>
      <x:c r="H62" s="32" t="str">
        <x:f>IF(A62="","",SUMIFS('5_盘点与报损'!$G:$G,'5_盘点与报损'!$B:$B,A62,'5_盘点与报损'!$C:$C,"报损"))</x:f>
      </x:c>
      <x:c r="I62" s="32"/>
      <x:c r="J62" s="32" t="n">
        <x:f>IF(I62&lt;&gt;"",I62,N(E62)+N(F62)-N(G62)-N(H62))</x:f>
        <x:v>0</x:v>
      </x:c>
      <x:c r="K62" s="32"/>
      <x:c r="L62" s="32"/>
      <x:c r="M62" s="32"/>
      <x:c r="N62" s="32" t="n">
        <x:f>N(K62)+N(L62)*N(M62)</x:f>
        <x:v>0</x:v>
      </x:c>
      <x:c r="O62" s="32" t="str">
        <x:f>IF(J62="","",MAX(0,N62-J62))</x:f>
      </x:c>
      <x:c r="P62" s="33"/>
      <x:c r="Q62" s="33" t="str">
        <x:f>IF(J62="","",J62*N(P62))</x:f>
      </x:c>
      <x:c r="R62" s="34" t="str">
        <x:f>IFERROR(J62/L62,"")</x:f>
      </x:c>
      <x:c r="S62" s="17" t="str">
        <x:f>IF(A62="","",IF(J62&lt;=0,"缺货",IF(J62&lt;=K62,"低于安全库存",IF(J62&lt;=N62,"建议补货","正常"))))</x:f>
      </x:c>
      <x:c r="T62" s="17" t="str"/>
    </x:row>
    <x:row r="63">
      <x:c r="A63" s="17" t="str"/>
      <x:c r="B63" s="17" t="str"/>
      <x:c r="C63" s="17" t="str"/>
      <x:c r="D63" s="17" t="str"/>
      <x:c r="E63" s="32"/>
      <x:c r="F63" s="32" t="str">
        <x:f>IF(A63="","",SUMIFS('4_进货记录'!$E:$E,'4_进货记录'!$C:$C,A63,'4_进货记录'!$I:$I,"已入库"))</x:f>
      </x:c>
      <x:c r="G63" s="32"/>
      <x:c r="H63" s="32" t="str">
        <x:f>IF(A63="","",SUMIFS('5_盘点与报损'!$G:$G,'5_盘点与报损'!$B:$B,A63,'5_盘点与报损'!$C:$C,"报损"))</x:f>
      </x:c>
      <x:c r="I63" s="32"/>
      <x:c r="J63" s="32" t="n">
        <x:f>IF(I63&lt;&gt;"",I63,N(E63)+N(F63)-N(G63)-N(H63))</x:f>
        <x:v>0</x:v>
      </x:c>
      <x:c r="K63" s="32"/>
      <x:c r="L63" s="32"/>
      <x:c r="M63" s="32"/>
      <x:c r="N63" s="32" t="n">
        <x:f>N(K63)+N(L63)*N(M63)</x:f>
        <x:v>0</x:v>
      </x:c>
      <x:c r="O63" s="32" t="str">
        <x:f>IF(J63="","",MAX(0,N63-J63))</x:f>
      </x:c>
      <x:c r="P63" s="33"/>
      <x:c r="Q63" s="33" t="str">
        <x:f>IF(J63="","",J63*N(P63))</x:f>
      </x:c>
      <x:c r="R63" s="34" t="str">
        <x:f>IFERROR(J63/L63,"")</x:f>
      </x:c>
      <x:c r="S63" s="17" t="str">
        <x:f>IF(A63="","",IF(J63&lt;=0,"缺货",IF(J63&lt;=K63,"低于安全库存",IF(J63&lt;=N63,"建议补货","正常"))))</x:f>
      </x:c>
      <x:c r="T63" s="17" t="str"/>
    </x:row>
    <x:row r="64">
      <x:c r="A64" s="17" t="str"/>
      <x:c r="B64" s="17" t="str"/>
      <x:c r="C64" s="17" t="str"/>
      <x:c r="D64" s="17" t="str"/>
      <x:c r="E64" s="32"/>
      <x:c r="F64" s="32" t="str">
        <x:f>IF(A64="","",SUMIFS('4_进货记录'!$E:$E,'4_进货记录'!$C:$C,A64,'4_进货记录'!$I:$I,"已入库"))</x:f>
      </x:c>
      <x:c r="G64" s="32"/>
      <x:c r="H64" s="32" t="str">
        <x:f>IF(A64="","",SUMIFS('5_盘点与报损'!$G:$G,'5_盘点与报损'!$B:$B,A64,'5_盘点与报损'!$C:$C,"报损"))</x:f>
      </x:c>
      <x:c r="I64" s="32"/>
      <x:c r="J64" s="32" t="n">
        <x:f>IF(I64&lt;&gt;"",I64,N(E64)+N(F64)-N(G64)-N(H64))</x:f>
        <x:v>0</x:v>
      </x:c>
      <x:c r="K64" s="32"/>
      <x:c r="L64" s="32"/>
      <x:c r="M64" s="32"/>
      <x:c r="N64" s="32" t="n">
        <x:f>N(K64)+N(L64)*N(M64)</x:f>
        <x:v>0</x:v>
      </x:c>
      <x:c r="O64" s="32" t="str">
        <x:f>IF(J64="","",MAX(0,N64-J64))</x:f>
      </x:c>
      <x:c r="P64" s="33"/>
      <x:c r="Q64" s="33" t="str">
        <x:f>IF(J64="","",J64*N(P64))</x:f>
      </x:c>
      <x:c r="R64" s="34" t="str">
        <x:f>IFERROR(J64/L64,"")</x:f>
      </x:c>
      <x:c r="S64" s="17" t="str">
        <x:f>IF(A64="","",IF(J64&lt;=0,"缺货",IF(J64&lt;=K64,"低于安全库存",IF(J64&lt;=N64,"建议补货","正常"))))</x:f>
      </x:c>
      <x:c r="T64" s="17" t="str"/>
    </x:row>
    <x:row r="65">
      <x:c r="A65" s="17" t="str"/>
      <x:c r="B65" s="17" t="str"/>
      <x:c r="C65" s="17" t="str"/>
      <x:c r="D65" s="17" t="str"/>
      <x:c r="E65" s="32"/>
      <x:c r="F65" s="32" t="str">
        <x:f>IF(A65="","",SUMIFS('4_进货记录'!$E:$E,'4_进货记录'!$C:$C,A65,'4_进货记录'!$I:$I,"已入库"))</x:f>
      </x:c>
      <x:c r="G65" s="32"/>
      <x:c r="H65" s="32" t="str">
        <x:f>IF(A65="","",SUMIFS('5_盘点与报损'!$G:$G,'5_盘点与报损'!$B:$B,A65,'5_盘点与报损'!$C:$C,"报损"))</x:f>
      </x:c>
      <x:c r="I65" s="32"/>
      <x:c r="J65" s="32" t="n">
        <x:f>IF(I65&lt;&gt;"",I65,N(E65)+N(F65)-N(G65)-N(H65))</x:f>
        <x:v>0</x:v>
      </x:c>
      <x:c r="K65" s="32"/>
      <x:c r="L65" s="32"/>
      <x:c r="M65" s="32"/>
      <x:c r="N65" s="32" t="n">
        <x:f>N(K65)+N(L65)*N(M65)</x:f>
        <x:v>0</x:v>
      </x:c>
      <x:c r="O65" s="32" t="str">
        <x:f>IF(J65="","",MAX(0,N65-J65))</x:f>
      </x:c>
      <x:c r="P65" s="33"/>
      <x:c r="Q65" s="33" t="str">
        <x:f>IF(J65="","",J65*N(P65))</x:f>
      </x:c>
      <x:c r="R65" s="34" t="str">
        <x:f>IFERROR(J65/L65,"")</x:f>
      </x:c>
      <x:c r="S65" s="17" t="str">
        <x:f>IF(A65="","",IF(J65&lt;=0,"缺货",IF(J65&lt;=K65,"低于安全库存",IF(J65&lt;=N65,"建议补货","正常"))))</x:f>
      </x:c>
      <x:c r="T65" s="17" t="str"/>
    </x:row>
    <x:row r="66">
      <x:c r="A66" s="17" t="str"/>
      <x:c r="B66" s="17" t="str"/>
      <x:c r="C66" s="17" t="str"/>
      <x:c r="D66" s="17" t="str"/>
      <x:c r="E66" s="32"/>
      <x:c r="F66" s="32" t="str">
        <x:f>IF(A66="","",SUMIFS('4_进货记录'!$E:$E,'4_进货记录'!$C:$C,A66,'4_进货记录'!$I:$I,"已入库"))</x:f>
      </x:c>
      <x:c r="G66" s="32"/>
      <x:c r="H66" s="32" t="str">
        <x:f>IF(A66="","",SUMIFS('5_盘点与报损'!$G:$G,'5_盘点与报损'!$B:$B,A66,'5_盘点与报损'!$C:$C,"报损"))</x:f>
      </x:c>
      <x:c r="I66" s="32"/>
      <x:c r="J66" s="32" t="n">
        <x:f>IF(I66&lt;&gt;"",I66,N(E66)+N(F66)-N(G66)-N(H66))</x:f>
        <x:v>0</x:v>
      </x:c>
      <x:c r="K66" s="32"/>
      <x:c r="L66" s="32"/>
      <x:c r="M66" s="32"/>
      <x:c r="N66" s="32" t="n">
        <x:f>N(K66)+N(L66)*N(M66)</x:f>
        <x:v>0</x:v>
      </x:c>
      <x:c r="O66" s="32" t="str">
        <x:f>IF(J66="","",MAX(0,N66-J66))</x:f>
      </x:c>
      <x:c r="P66" s="33"/>
      <x:c r="Q66" s="33" t="str">
        <x:f>IF(J66="","",J66*N(P66))</x:f>
      </x:c>
      <x:c r="R66" s="34" t="str">
        <x:f>IFERROR(J66/L66,"")</x:f>
      </x:c>
      <x:c r="S66" s="17" t="str">
        <x:f>IF(A66="","",IF(J66&lt;=0,"缺货",IF(J66&lt;=K66,"低于安全库存",IF(J66&lt;=N66,"建议补货","正常"))))</x:f>
      </x:c>
      <x:c r="T66" s="17" t="str"/>
    </x:row>
    <x:row r="67">
      <x:c r="A67" s="17" t="str"/>
      <x:c r="B67" s="17" t="str"/>
      <x:c r="C67" s="17" t="str"/>
      <x:c r="D67" s="17" t="str"/>
      <x:c r="E67" s="32"/>
      <x:c r="F67" s="32" t="str">
        <x:f>IF(A67="","",SUMIFS('4_进货记录'!$E:$E,'4_进货记录'!$C:$C,A67,'4_进货记录'!$I:$I,"已入库"))</x:f>
      </x:c>
      <x:c r="G67" s="32"/>
      <x:c r="H67" s="32" t="str">
        <x:f>IF(A67="","",SUMIFS('5_盘点与报损'!$G:$G,'5_盘点与报损'!$B:$B,A67,'5_盘点与报损'!$C:$C,"报损"))</x:f>
      </x:c>
      <x:c r="I67" s="32"/>
      <x:c r="J67" s="32" t="n">
        <x:f>IF(I67&lt;&gt;"",I67,N(E67)+N(F67)-N(G67)-N(H67))</x:f>
        <x:v>0</x:v>
      </x:c>
      <x:c r="K67" s="32"/>
      <x:c r="L67" s="32"/>
      <x:c r="M67" s="32"/>
      <x:c r="N67" s="32" t="n">
        <x:f>N(K67)+N(L67)*N(M67)</x:f>
        <x:v>0</x:v>
      </x:c>
      <x:c r="O67" s="32" t="str">
        <x:f>IF(J67="","",MAX(0,N67-J67))</x:f>
      </x:c>
      <x:c r="P67" s="33"/>
      <x:c r="Q67" s="33" t="str">
        <x:f>IF(J67="","",J67*N(P67))</x:f>
      </x:c>
      <x:c r="R67" s="34" t="str">
        <x:f>IFERROR(J67/L67,"")</x:f>
      </x:c>
      <x:c r="S67" s="17" t="str">
        <x:f>IF(A67="","",IF(J67&lt;=0,"缺货",IF(J67&lt;=K67,"低于安全库存",IF(J67&lt;=N67,"建议补货","正常"))))</x:f>
      </x:c>
      <x:c r="T67" s="17" t="str"/>
    </x:row>
    <x:row r="68">
      <x:c r="A68" s="17" t="str"/>
      <x:c r="B68" s="17" t="str"/>
      <x:c r="C68" s="17" t="str"/>
      <x:c r="D68" s="17" t="str"/>
      <x:c r="E68" s="32"/>
      <x:c r="F68" s="32" t="str">
        <x:f>IF(A68="","",SUMIFS('4_进货记录'!$E:$E,'4_进货记录'!$C:$C,A68,'4_进货记录'!$I:$I,"已入库"))</x:f>
      </x:c>
      <x:c r="G68" s="32"/>
      <x:c r="H68" s="32" t="str">
        <x:f>IF(A68="","",SUMIFS('5_盘点与报损'!$G:$G,'5_盘点与报损'!$B:$B,A68,'5_盘点与报损'!$C:$C,"报损"))</x:f>
      </x:c>
      <x:c r="I68" s="32"/>
      <x:c r="J68" s="32" t="n">
        <x:f>IF(I68&lt;&gt;"",I68,N(E68)+N(F68)-N(G68)-N(H68))</x:f>
        <x:v>0</x:v>
      </x:c>
      <x:c r="K68" s="32"/>
      <x:c r="L68" s="32"/>
      <x:c r="M68" s="32"/>
      <x:c r="N68" s="32" t="n">
        <x:f>N(K68)+N(L68)*N(M68)</x:f>
        <x:v>0</x:v>
      </x:c>
      <x:c r="O68" s="32" t="str">
        <x:f>IF(J68="","",MAX(0,N68-J68))</x:f>
      </x:c>
      <x:c r="P68" s="33"/>
      <x:c r="Q68" s="33" t="str">
        <x:f>IF(J68="","",J68*N(P68))</x:f>
      </x:c>
      <x:c r="R68" s="34" t="str">
        <x:f>IFERROR(J68/L68,"")</x:f>
      </x:c>
      <x:c r="S68" s="17" t="str">
        <x:f>IF(A68="","",IF(J68&lt;=0,"缺货",IF(J68&lt;=K68,"低于安全库存",IF(J68&lt;=N68,"建议补货","正常"))))</x:f>
      </x:c>
      <x:c r="T68" s="17" t="str"/>
    </x:row>
    <x:row r="69">
      <x:c r="A69" s="17" t="str"/>
      <x:c r="B69" s="17" t="str"/>
      <x:c r="C69" s="17" t="str"/>
      <x:c r="D69" s="17" t="str"/>
      <x:c r="E69" s="32"/>
      <x:c r="F69" s="32" t="str">
        <x:f>IF(A69="","",SUMIFS('4_进货记录'!$E:$E,'4_进货记录'!$C:$C,A69,'4_进货记录'!$I:$I,"已入库"))</x:f>
      </x:c>
      <x:c r="G69" s="32"/>
      <x:c r="H69" s="32" t="str">
        <x:f>IF(A69="","",SUMIFS('5_盘点与报损'!$G:$G,'5_盘点与报损'!$B:$B,A69,'5_盘点与报损'!$C:$C,"报损"))</x:f>
      </x:c>
      <x:c r="I69" s="32"/>
      <x:c r="J69" s="32" t="n">
        <x:f>IF(I69&lt;&gt;"",I69,N(E69)+N(F69)-N(G69)-N(H69))</x:f>
        <x:v>0</x:v>
      </x:c>
      <x:c r="K69" s="32"/>
      <x:c r="L69" s="32"/>
      <x:c r="M69" s="32"/>
      <x:c r="N69" s="32" t="n">
        <x:f>N(K69)+N(L69)*N(M69)</x:f>
        <x:v>0</x:v>
      </x:c>
      <x:c r="O69" s="32" t="str">
        <x:f>IF(J69="","",MAX(0,N69-J69))</x:f>
      </x:c>
      <x:c r="P69" s="33"/>
      <x:c r="Q69" s="33" t="str">
        <x:f>IF(J69="","",J69*N(P69))</x:f>
      </x:c>
      <x:c r="R69" s="34" t="str">
        <x:f>IFERROR(J69/L69,"")</x:f>
      </x:c>
      <x:c r="S69" s="17" t="str">
        <x:f>IF(A69="","",IF(J69&lt;=0,"缺货",IF(J69&lt;=K69,"低于安全库存",IF(J69&lt;=N69,"建议补货","正常"))))</x:f>
      </x:c>
      <x:c r="T69" s="17" t="str"/>
    </x:row>
    <x:row r="70">
      <x:c r="A70" s="17" t="str"/>
      <x:c r="B70" s="17" t="str"/>
      <x:c r="C70" s="17" t="str"/>
      <x:c r="D70" s="17" t="str"/>
      <x:c r="E70" s="32"/>
      <x:c r="F70" s="32" t="str">
        <x:f>IF(A70="","",SUMIFS('4_进货记录'!$E:$E,'4_进货记录'!$C:$C,A70,'4_进货记录'!$I:$I,"已入库"))</x:f>
      </x:c>
      <x:c r="G70" s="32"/>
      <x:c r="H70" s="32" t="str">
        <x:f>IF(A70="","",SUMIFS('5_盘点与报损'!$G:$G,'5_盘点与报损'!$B:$B,A70,'5_盘点与报损'!$C:$C,"报损"))</x:f>
      </x:c>
      <x:c r="I70" s="32"/>
      <x:c r="J70" s="32" t="n">
        <x:f>IF(I70&lt;&gt;"",I70,N(E70)+N(F70)-N(G70)-N(H70))</x:f>
        <x:v>0</x:v>
      </x:c>
      <x:c r="K70" s="32"/>
      <x:c r="L70" s="32"/>
      <x:c r="M70" s="32"/>
      <x:c r="N70" s="32" t="n">
        <x:f>N(K70)+N(L70)*N(M70)</x:f>
        <x:v>0</x:v>
      </x:c>
      <x:c r="O70" s="32" t="str">
        <x:f>IF(J70="","",MAX(0,N70-J70))</x:f>
      </x:c>
      <x:c r="P70" s="33"/>
      <x:c r="Q70" s="33" t="str">
        <x:f>IF(J70="","",J70*N(P70))</x:f>
      </x:c>
      <x:c r="R70" s="34" t="str">
        <x:f>IFERROR(J70/L70,"")</x:f>
      </x:c>
      <x:c r="S70" s="17" t="str">
        <x:f>IF(A70="","",IF(J70&lt;=0,"缺货",IF(J70&lt;=K70,"低于安全库存",IF(J70&lt;=N70,"建议补货","正常"))))</x:f>
      </x:c>
      <x:c r="T70" s="17" t="str"/>
    </x:row>
    <x:row r="71">
      <x:c r="A71" s="17" t="str"/>
      <x:c r="B71" s="17" t="str"/>
      <x:c r="C71" s="17" t="str"/>
      <x:c r="D71" s="17" t="str"/>
      <x:c r="E71" s="32"/>
      <x:c r="F71" s="32" t="str">
        <x:f>IF(A71="","",SUMIFS('4_进货记录'!$E:$E,'4_进货记录'!$C:$C,A71,'4_进货记录'!$I:$I,"已入库"))</x:f>
      </x:c>
      <x:c r="G71" s="32"/>
      <x:c r="H71" s="32" t="str">
        <x:f>IF(A71="","",SUMIFS('5_盘点与报损'!$G:$G,'5_盘点与报损'!$B:$B,A71,'5_盘点与报损'!$C:$C,"报损"))</x:f>
      </x:c>
      <x:c r="I71" s="32"/>
      <x:c r="J71" s="32" t="n">
        <x:f>IF(I71&lt;&gt;"",I71,N(E71)+N(F71)-N(G71)-N(H71))</x:f>
        <x:v>0</x:v>
      </x:c>
      <x:c r="K71" s="32"/>
      <x:c r="L71" s="32"/>
      <x:c r="M71" s="32"/>
      <x:c r="N71" s="32" t="n">
        <x:f>N(K71)+N(L71)*N(M71)</x:f>
        <x:v>0</x:v>
      </x:c>
      <x:c r="O71" s="32" t="str">
        <x:f>IF(J71="","",MAX(0,N71-J71))</x:f>
      </x:c>
      <x:c r="P71" s="33"/>
      <x:c r="Q71" s="33" t="str">
        <x:f>IF(J71="","",J71*N(P71))</x:f>
      </x:c>
      <x:c r="R71" s="34" t="str">
        <x:f>IFERROR(J71/L71,"")</x:f>
      </x:c>
      <x:c r="S71" s="17" t="str">
        <x:f>IF(A71="","",IF(J71&lt;=0,"缺货",IF(J71&lt;=K71,"低于安全库存",IF(J71&lt;=N71,"建议补货","正常"))))</x:f>
      </x:c>
      <x:c r="T71" s="17" t="str"/>
    </x:row>
    <x:row r="72">
      <x:c r="A72" s="17" t="str"/>
      <x:c r="B72" s="17" t="str"/>
      <x:c r="C72" s="17" t="str"/>
      <x:c r="D72" s="17" t="str"/>
      <x:c r="E72" s="32"/>
      <x:c r="F72" s="32" t="str">
        <x:f>IF(A72="","",SUMIFS('4_进货记录'!$E:$E,'4_进货记录'!$C:$C,A72,'4_进货记录'!$I:$I,"已入库"))</x:f>
      </x:c>
      <x:c r="G72" s="32"/>
      <x:c r="H72" s="32" t="str">
        <x:f>IF(A72="","",SUMIFS('5_盘点与报损'!$G:$G,'5_盘点与报损'!$B:$B,A72,'5_盘点与报损'!$C:$C,"报损"))</x:f>
      </x:c>
      <x:c r="I72" s="32"/>
      <x:c r="J72" s="32" t="n">
        <x:f>IF(I72&lt;&gt;"",I72,N(E72)+N(F72)-N(G72)-N(H72))</x:f>
        <x:v>0</x:v>
      </x:c>
      <x:c r="K72" s="32"/>
      <x:c r="L72" s="32"/>
      <x:c r="M72" s="32"/>
      <x:c r="N72" s="32" t="n">
        <x:f>N(K72)+N(L72)*N(M72)</x:f>
        <x:v>0</x:v>
      </x:c>
      <x:c r="O72" s="32" t="str">
        <x:f>IF(J72="","",MAX(0,N72-J72))</x:f>
      </x:c>
      <x:c r="P72" s="33"/>
      <x:c r="Q72" s="33" t="str">
        <x:f>IF(J72="","",J72*N(P72))</x:f>
      </x:c>
      <x:c r="R72" s="34" t="str">
        <x:f>IFERROR(J72/L72,"")</x:f>
      </x:c>
      <x:c r="S72" s="17" t="str">
        <x:f>IF(A72="","",IF(J72&lt;=0,"缺货",IF(J72&lt;=K72,"低于安全库存",IF(J72&lt;=N72,"建议补货","正常"))))</x:f>
      </x:c>
      <x:c r="T72" s="17" t="str"/>
    </x:row>
    <x:row r="73">
      <x:c r="A73" s="17" t="str"/>
      <x:c r="B73" s="17" t="str"/>
      <x:c r="C73" s="17" t="str"/>
      <x:c r="D73" s="17" t="str"/>
      <x:c r="E73" s="32"/>
      <x:c r="F73" s="32" t="str">
        <x:f>IF(A73="","",SUMIFS('4_进货记录'!$E:$E,'4_进货记录'!$C:$C,A73,'4_进货记录'!$I:$I,"已入库"))</x:f>
      </x:c>
      <x:c r="G73" s="32"/>
      <x:c r="H73" s="32" t="str">
        <x:f>IF(A73="","",SUMIFS('5_盘点与报损'!$G:$G,'5_盘点与报损'!$B:$B,A73,'5_盘点与报损'!$C:$C,"报损"))</x:f>
      </x:c>
      <x:c r="I73" s="32"/>
      <x:c r="J73" s="32" t="n">
        <x:f>IF(I73&lt;&gt;"",I73,N(E73)+N(F73)-N(G73)-N(H73))</x:f>
        <x:v>0</x:v>
      </x:c>
      <x:c r="K73" s="32"/>
      <x:c r="L73" s="32"/>
      <x:c r="M73" s="32"/>
      <x:c r="N73" s="32" t="n">
        <x:f>N(K73)+N(L73)*N(M73)</x:f>
        <x:v>0</x:v>
      </x:c>
      <x:c r="O73" s="32" t="str">
        <x:f>IF(J73="","",MAX(0,N73-J73))</x:f>
      </x:c>
      <x:c r="P73" s="33"/>
      <x:c r="Q73" s="33" t="str">
        <x:f>IF(J73="","",J73*N(P73))</x:f>
      </x:c>
      <x:c r="R73" s="34" t="str">
        <x:f>IFERROR(J73/L73,"")</x:f>
      </x:c>
      <x:c r="S73" s="17" t="str">
        <x:f>IF(A73="","",IF(J73&lt;=0,"缺货",IF(J73&lt;=K73,"低于安全库存",IF(J73&lt;=N73,"建议补货","正常"))))</x:f>
      </x:c>
      <x:c r="T73" s="17" t="str"/>
    </x:row>
    <x:row r="74">
      <x:c r="A74" s="17" t="str"/>
      <x:c r="B74" s="17" t="str"/>
      <x:c r="C74" s="17" t="str"/>
      <x:c r="D74" s="17" t="str"/>
      <x:c r="E74" s="32"/>
      <x:c r="F74" s="32" t="str">
        <x:f>IF(A74="","",SUMIFS('4_进货记录'!$E:$E,'4_进货记录'!$C:$C,A74,'4_进货记录'!$I:$I,"已入库"))</x:f>
      </x:c>
      <x:c r="G74" s="32"/>
      <x:c r="H74" s="32" t="str">
        <x:f>IF(A74="","",SUMIFS('5_盘点与报损'!$G:$G,'5_盘点与报损'!$B:$B,A74,'5_盘点与报损'!$C:$C,"报损"))</x:f>
      </x:c>
      <x:c r="I74" s="32"/>
      <x:c r="J74" s="32" t="n">
        <x:f>IF(I74&lt;&gt;"",I74,N(E74)+N(F74)-N(G74)-N(H74))</x:f>
        <x:v>0</x:v>
      </x:c>
      <x:c r="K74" s="32"/>
      <x:c r="L74" s="32"/>
      <x:c r="M74" s="32"/>
      <x:c r="N74" s="32" t="n">
        <x:f>N(K74)+N(L74)*N(M74)</x:f>
        <x:v>0</x:v>
      </x:c>
      <x:c r="O74" s="32" t="str">
        <x:f>IF(J74="","",MAX(0,N74-J74))</x:f>
      </x:c>
      <x:c r="P74" s="33"/>
      <x:c r="Q74" s="33" t="str">
        <x:f>IF(J74="","",J74*N(P74))</x:f>
      </x:c>
      <x:c r="R74" s="34" t="str">
        <x:f>IFERROR(J74/L74,"")</x:f>
      </x:c>
      <x:c r="S74" s="17" t="str">
        <x:f>IF(A74="","",IF(J74&lt;=0,"缺货",IF(J74&lt;=K74,"低于安全库存",IF(J74&lt;=N74,"建议补货","正常"))))</x:f>
      </x:c>
      <x:c r="T74" s="17" t="str"/>
    </x:row>
    <x:row r="75">
      <x:c r="A75" s="17" t="str"/>
      <x:c r="B75" s="17" t="str"/>
      <x:c r="C75" s="17" t="str"/>
      <x:c r="D75" s="17" t="str"/>
      <x:c r="E75" s="32"/>
      <x:c r="F75" s="32" t="str">
        <x:f>IF(A75="","",SUMIFS('4_进货记录'!$E:$E,'4_进货记录'!$C:$C,A75,'4_进货记录'!$I:$I,"已入库"))</x:f>
      </x:c>
      <x:c r="G75" s="32"/>
      <x:c r="H75" s="32" t="str">
        <x:f>IF(A75="","",SUMIFS('5_盘点与报损'!$G:$G,'5_盘点与报损'!$B:$B,A75,'5_盘点与报损'!$C:$C,"报损"))</x:f>
      </x:c>
      <x:c r="I75" s="32"/>
      <x:c r="J75" s="32" t="n">
        <x:f>IF(I75&lt;&gt;"",I75,N(E75)+N(F75)-N(G75)-N(H75))</x:f>
        <x:v>0</x:v>
      </x:c>
      <x:c r="K75" s="32"/>
      <x:c r="L75" s="32"/>
      <x:c r="M75" s="32"/>
      <x:c r="N75" s="32" t="n">
        <x:f>N(K75)+N(L75)*N(M75)</x:f>
        <x:v>0</x:v>
      </x:c>
      <x:c r="O75" s="32" t="str">
        <x:f>IF(J75="","",MAX(0,N75-J75))</x:f>
      </x:c>
      <x:c r="P75" s="33"/>
      <x:c r="Q75" s="33" t="str">
        <x:f>IF(J75="","",J75*N(P75))</x:f>
      </x:c>
      <x:c r="R75" s="34" t="str">
        <x:f>IFERROR(J75/L75,"")</x:f>
      </x:c>
      <x:c r="S75" s="17" t="str">
        <x:f>IF(A75="","",IF(J75&lt;=0,"缺货",IF(J75&lt;=K75,"低于安全库存",IF(J75&lt;=N75,"建议补货","正常"))))</x:f>
      </x:c>
      <x:c r="T75" s="17" t="str"/>
    </x:row>
    <x:row r="76">
      <x:c r="A76" s="17" t="str"/>
      <x:c r="B76" s="17" t="str"/>
      <x:c r="C76" s="17" t="str"/>
      <x:c r="D76" s="17" t="str"/>
      <x:c r="E76" s="32"/>
      <x:c r="F76" s="32" t="str">
        <x:f>IF(A76="","",SUMIFS('4_进货记录'!$E:$E,'4_进货记录'!$C:$C,A76,'4_进货记录'!$I:$I,"已入库"))</x:f>
      </x:c>
      <x:c r="G76" s="32"/>
      <x:c r="H76" s="32" t="str">
        <x:f>IF(A76="","",SUMIFS('5_盘点与报损'!$G:$G,'5_盘点与报损'!$B:$B,A76,'5_盘点与报损'!$C:$C,"报损"))</x:f>
      </x:c>
      <x:c r="I76" s="32"/>
      <x:c r="J76" s="32" t="n">
        <x:f>IF(I76&lt;&gt;"",I76,N(E76)+N(F76)-N(G76)-N(H76))</x:f>
        <x:v>0</x:v>
      </x:c>
      <x:c r="K76" s="32"/>
      <x:c r="L76" s="32"/>
      <x:c r="M76" s="32"/>
      <x:c r="N76" s="32" t="n">
        <x:f>N(K76)+N(L76)*N(M76)</x:f>
        <x:v>0</x:v>
      </x:c>
      <x:c r="O76" s="32" t="str">
        <x:f>IF(J76="","",MAX(0,N76-J76))</x:f>
      </x:c>
      <x:c r="P76" s="33"/>
      <x:c r="Q76" s="33" t="str">
        <x:f>IF(J76="","",J76*N(P76))</x:f>
      </x:c>
      <x:c r="R76" s="34" t="str">
        <x:f>IFERROR(J76/L76,"")</x:f>
      </x:c>
      <x:c r="S76" s="17" t="str">
        <x:f>IF(A76="","",IF(J76&lt;=0,"缺货",IF(J76&lt;=K76,"低于安全库存",IF(J76&lt;=N76,"建议补货","正常"))))</x:f>
      </x:c>
      <x:c r="T76" s="17" t="str"/>
    </x:row>
    <x:row r="77">
      <x:c r="A77" s="17" t="str"/>
      <x:c r="B77" s="17" t="str"/>
      <x:c r="C77" s="17" t="str"/>
      <x:c r="D77" s="17" t="str"/>
      <x:c r="E77" s="32"/>
      <x:c r="F77" s="32" t="str">
        <x:f>IF(A77="","",SUMIFS('4_进货记录'!$E:$E,'4_进货记录'!$C:$C,A77,'4_进货记录'!$I:$I,"已入库"))</x:f>
      </x:c>
      <x:c r="G77" s="32"/>
      <x:c r="H77" s="32" t="str">
        <x:f>IF(A77="","",SUMIFS('5_盘点与报损'!$G:$G,'5_盘点与报损'!$B:$B,A77,'5_盘点与报损'!$C:$C,"报损"))</x:f>
      </x:c>
      <x:c r="I77" s="32"/>
      <x:c r="J77" s="32" t="n">
        <x:f>IF(I77&lt;&gt;"",I77,N(E77)+N(F77)-N(G77)-N(H77))</x:f>
        <x:v>0</x:v>
      </x:c>
      <x:c r="K77" s="32"/>
      <x:c r="L77" s="32"/>
      <x:c r="M77" s="32"/>
      <x:c r="N77" s="32" t="n">
        <x:f>N(K77)+N(L77)*N(M77)</x:f>
        <x:v>0</x:v>
      </x:c>
      <x:c r="O77" s="32" t="str">
        <x:f>IF(J77="","",MAX(0,N77-J77))</x:f>
      </x:c>
      <x:c r="P77" s="33"/>
      <x:c r="Q77" s="33" t="str">
        <x:f>IF(J77="","",J77*N(P77))</x:f>
      </x:c>
      <x:c r="R77" s="34" t="str">
        <x:f>IFERROR(J77/L77,"")</x:f>
      </x:c>
      <x:c r="S77" s="17" t="str">
        <x:f>IF(A77="","",IF(J77&lt;=0,"缺货",IF(J77&lt;=K77,"低于安全库存",IF(J77&lt;=N77,"建议补货","正常"))))</x:f>
      </x:c>
      <x:c r="T77" s="17" t="str"/>
    </x:row>
    <x:row r="78">
      <x:c r="A78" s="17" t="str"/>
      <x:c r="B78" s="17" t="str"/>
      <x:c r="C78" s="17" t="str"/>
      <x:c r="D78" s="17" t="str"/>
      <x:c r="E78" s="32"/>
      <x:c r="F78" s="32" t="str">
        <x:f>IF(A78="","",SUMIFS('4_进货记录'!$E:$E,'4_进货记录'!$C:$C,A78,'4_进货记录'!$I:$I,"已入库"))</x:f>
      </x:c>
      <x:c r="G78" s="32"/>
      <x:c r="H78" s="32" t="str">
        <x:f>IF(A78="","",SUMIFS('5_盘点与报损'!$G:$G,'5_盘点与报损'!$B:$B,A78,'5_盘点与报损'!$C:$C,"报损"))</x:f>
      </x:c>
      <x:c r="I78" s="32"/>
      <x:c r="J78" s="32" t="n">
        <x:f>IF(I78&lt;&gt;"",I78,N(E78)+N(F78)-N(G78)-N(H78))</x:f>
        <x:v>0</x:v>
      </x:c>
      <x:c r="K78" s="32"/>
      <x:c r="L78" s="32"/>
      <x:c r="M78" s="32"/>
      <x:c r="N78" s="32" t="n">
        <x:f>N(K78)+N(L78)*N(M78)</x:f>
        <x:v>0</x:v>
      </x:c>
      <x:c r="O78" s="32" t="str">
        <x:f>IF(J78="","",MAX(0,N78-J78))</x:f>
      </x:c>
      <x:c r="P78" s="33"/>
      <x:c r="Q78" s="33" t="str">
        <x:f>IF(J78="","",J78*N(P78))</x:f>
      </x:c>
      <x:c r="R78" s="34" t="str">
        <x:f>IFERROR(J78/L78,"")</x:f>
      </x:c>
      <x:c r="S78" s="17" t="str">
        <x:f>IF(A78="","",IF(J78&lt;=0,"缺货",IF(J78&lt;=K78,"低于安全库存",IF(J78&lt;=N78,"建议补货","正常"))))</x:f>
      </x:c>
      <x:c r="T78" s="17" t="str"/>
    </x:row>
    <x:row r="79">
      <x:c r="A79" s="17" t="str"/>
      <x:c r="B79" s="17" t="str"/>
      <x:c r="C79" s="17" t="str"/>
      <x:c r="D79" s="17" t="str"/>
      <x:c r="E79" s="32"/>
      <x:c r="F79" s="32" t="str">
        <x:f>IF(A79="","",SUMIFS('4_进货记录'!$E:$E,'4_进货记录'!$C:$C,A79,'4_进货记录'!$I:$I,"已入库"))</x:f>
      </x:c>
      <x:c r="G79" s="32"/>
      <x:c r="H79" s="32" t="str">
        <x:f>IF(A79="","",SUMIFS('5_盘点与报损'!$G:$G,'5_盘点与报损'!$B:$B,A79,'5_盘点与报损'!$C:$C,"报损"))</x:f>
      </x:c>
      <x:c r="I79" s="32"/>
      <x:c r="J79" s="32" t="n">
        <x:f>IF(I79&lt;&gt;"",I79,N(E79)+N(F79)-N(G79)-N(H79))</x:f>
        <x:v>0</x:v>
      </x:c>
      <x:c r="K79" s="32"/>
      <x:c r="L79" s="32"/>
      <x:c r="M79" s="32"/>
      <x:c r="N79" s="32" t="n">
        <x:f>N(K79)+N(L79)*N(M79)</x:f>
        <x:v>0</x:v>
      </x:c>
      <x:c r="O79" s="32" t="str">
        <x:f>IF(J79="","",MAX(0,N79-J79))</x:f>
      </x:c>
      <x:c r="P79" s="33"/>
      <x:c r="Q79" s="33" t="str">
        <x:f>IF(J79="","",J79*N(P79))</x:f>
      </x:c>
      <x:c r="R79" s="34" t="str">
        <x:f>IFERROR(J79/L79,"")</x:f>
      </x:c>
      <x:c r="S79" s="17" t="str">
        <x:f>IF(A79="","",IF(J79&lt;=0,"缺货",IF(J79&lt;=K79,"低于安全库存",IF(J79&lt;=N79,"建议补货","正常"))))</x:f>
      </x:c>
      <x:c r="T79" s="17" t="str"/>
    </x:row>
    <x:row r="80">
      <x:c r="A80" s="17" t="str"/>
      <x:c r="B80" s="17" t="str"/>
      <x:c r="C80" s="17" t="str"/>
      <x:c r="D80" s="17" t="str"/>
      <x:c r="E80" s="32"/>
      <x:c r="F80" s="32" t="str">
        <x:f>IF(A80="","",SUMIFS('4_进货记录'!$E:$E,'4_进货记录'!$C:$C,A80,'4_进货记录'!$I:$I,"已入库"))</x:f>
      </x:c>
      <x:c r="G80" s="32"/>
      <x:c r="H80" s="32" t="str">
        <x:f>IF(A80="","",SUMIFS('5_盘点与报损'!$G:$G,'5_盘点与报损'!$B:$B,A80,'5_盘点与报损'!$C:$C,"报损"))</x:f>
      </x:c>
      <x:c r="I80" s="32"/>
      <x:c r="J80" s="32" t="n">
        <x:f>IF(I80&lt;&gt;"",I80,N(E80)+N(F80)-N(G80)-N(H80))</x:f>
        <x:v>0</x:v>
      </x:c>
      <x:c r="K80" s="32"/>
      <x:c r="L80" s="32"/>
      <x:c r="M80" s="32"/>
      <x:c r="N80" s="32" t="n">
        <x:f>N(K80)+N(L80)*N(M80)</x:f>
        <x:v>0</x:v>
      </x:c>
      <x:c r="O80" s="32" t="str">
        <x:f>IF(J80="","",MAX(0,N80-J80))</x:f>
      </x:c>
      <x:c r="P80" s="33"/>
      <x:c r="Q80" s="33" t="str">
        <x:f>IF(J80="","",J80*N(P80))</x:f>
      </x:c>
      <x:c r="R80" s="34" t="str">
        <x:f>IFERROR(J80/L80,"")</x:f>
      </x:c>
      <x:c r="S80" s="17" t="str">
        <x:f>IF(A80="","",IF(J80&lt;=0,"缺货",IF(J80&lt;=K80,"低于安全库存",IF(J80&lt;=N80,"建议补货","正常"))))</x:f>
      </x:c>
      <x:c r="T80" s="17" t="str"/>
    </x:row>
    <x:row r="81">
      <x:c r="A81" s="17" t="str"/>
      <x:c r="B81" s="17" t="str"/>
      <x:c r="C81" s="17" t="str"/>
      <x:c r="D81" s="17" t="str"/>
      <x:c r="E81" s="32"/>
      <x:c r="F81" s="32" t="str">
        <x:f>IF(A81="","",SUMIFS('4_进货记录'!$E:$E,'4_进货记录'!$C:$C,A81,'4_进货记录'!$I:$I,"已入库"))</x:f>
      </x:c>
      <x:c r="G81" s="32"/>
      <x:c r="H81" s="32" t="str">
        <x:f>IF(A81="","",SUMIFS('5_盘点与报损'!$G:$G,'5_盘点与报损'!$B:$B,A81,'5_盘点与报损'!$C:$C,"报损"))</x:f>
      </x:c>
      <x:c r="I81" s="32"/>
      <x:c r="J81" s="32" t="n">
        <x:f>IF(I81&lt;&gt;"",I81,N(E81)+N(F81)-N(G81)-N(H81))</x:f>
        <x:v>0</x:v>
      </x:c>
      <x:c r="K81" s="32"/>
      <x:c r="L81" s="32"/>
      <x:c r="M81" s="32"/>
      <x:c r="N81" s="32" t="n">
        <x:f>N(K81)+N(L81)*N(M81)</x:f>
        <x:v>0</x:v>
      </x:c>
      <x:c r="O81" s="32" t="str">
        <x:f>IF(J81="","",MAX(0,N81-J81))</x:f>
      </x:c>
      <x:c r="P81" s="33"/>
      <x:c r="Q81" s="33" t="str">
        <x:f>IF(J81="","",J81*N(P81))</x:f>
      </x:c>
      <x:c r="R81" s="34" t="str">
        <x:f>IFERROR(J81/L81,"")</x:f>
      </x:c>
      <x:c r="S81" s="17" t="str">
        <x:f>IF(A81="","",IF(J81&lt;=0,"缺货",IF(J81&lt;=K81,"低于安全库存",IF(J81&lt;=N81,"建议补货","正常"))))</x:f>
      </x:c>
      <x:c r="T81" s="17" t="str"/>
    </x:row>
    <x:row r="82">
      <x:c r="A82" s="17" t="str"/>
      <x:c r="B82" s="17" t="str"/>
      <x:c r="C82" s="17" t="str"/>
      <x:c r="D82" s="17" t="str"/>
      <x:c r="E82" s="32"/>
      <x:c r="F82" s="32" t="str">
        <x:f>IF(A82="","",SUMIFS('4_进货记录'!$E:$E,'4_进货记录'!$C:$C,A82,'4_进货记录'!$I:$I,"已入库"))</x:f>
      </x:c>
      <x:c r="G82" s="32"/>
      <x:c r="H82" s="32" t="str">
        <x:f>IF(A82="","",SUMIFS('5_盘点与报损'!$G:$G,'5_盘点与报损'!$B:$B,A82,'5_盘点与报损'!$C:$C,"报损"))</x:f>
      </x:c>
      <x:c r="I82" s="32"/>
      <x:c r="J82" s="32" t="n">
        <x:f>IF(I82&lt;&gt;"",I82,N(E82)+N(F82)-N(G82)-N(H82))</x:f>
        <x:v>0</x:v>
      </x:c>
      <x:c r="K82" s="32"/>
      <x:c r="L82" s="32"/>
      <x:c r="M82" s="32"/>
      <x:c r="N82" s="32" t="n">
        <x:f>N(K82)+N(L82)*N(M82)</x:f>
        <x:v>0</x:v>
      </x:c>
      <x:c r="O82" s="32" t="str">
        <x:f>IF(J82="","",MAX(0,N82-J82))</x:f>
      </x:c>
      <x:c r="P82" s="33"/>
      <x:c r="Q82" s="33" t="str">
        <x:f>IF(J82="","",J82*N(P82))</x:f>
      </x:c>
      <x:c r="R82" s="34" t="str">
        <x:f>IFERROR(J82/L82,"")</x:f>
      </x:c>
      <x:c r="S82" s="17" t="str">
        <x:f>IF(A82="","",IF(J82&lt;=0,"缺货",IF(J82&lt;=K82,"低于安全库存",IF(J82&lt;=N82,"建议补货","正常"))))</x:f>
      </x:c>
      <x:c r="T82" s="17" t="str"/>
    </x:row>
    <x:row r="83">
      <x:c r="A83" s="17" t="str"/>
      <x:c r="B83" s="17" t="str"/>
      <x:c r="C83" s="17" t="str"/>
      <x:c r="D83" s="17" t="str"/>
      <x:c r="E83" s="32"/>
      <x:c r="F83" s="32" t="str">
        <x:f>IF(A83="","",SUMIFS('4_进货记录'!$E:$E,'4_进货记录'!$C:$C,A83,'4_进货记录'!$I:$I,"已入库"))</x:f>
      </x:c>
      <x:c r="G83" s="32"/>
      <x:c r="H83" s="32" t="str">
        <x:f>IF(A83="","",SUMIFS('5_盘点与报损'!$G:$G,'5_盘点与报损'!$B:$B,A83,'5_盘点与报损'!$C:$C,"报损"))</x:f>
      </x:c>
      <x:c r="I83" s="32"/>
      <x:c r="J83" s="32" t="n">
        <x:f>IF(I83&lt;&gt;"",I83,N(E83)+N(F83)-N(G83)-N(H83))</x:f>
        <x:v>0</x:v>
      </x:c>
      <x:c r="K83" s="32"/>
      <x:c r="L83" s="32"/>
      <x:c r="M83" s="32"/>
      <x:c r="N83" s="32" t="n">
        <x:f>N(K83)+N(L83)*N(M83)</x:f>
        <x:v>0</x:v>
      </x:c>
      <x:c r="O83" s="32" t="str">
        <x:f>IF(J83="","",MAX(0,N83-J83))</x:f>
      </x:c>
      <x:c r="P83" s="33"/>
      <x:c r="Q83" s="33" t="str">
        <x:f>IF(J83="","",J83*N(P83))</x:f>
      </x:c>
      <x:c r="R83" s="34" t="str">
        <x:f>IFERROR(J83/L83,"")</x:f>
      </x:c>
      <x:c r="S83" s="17" t="str">
        <x:f>IF(A83="","",IF(J83&lt;=0,"缺货",IF(J83&lt;=K83,"低于安全库存",IF(J83&lt;=N83,"建议补货","正常"))))</x:f>
      </x:c>
      <x:c r="T83" s="17" t="str"/>
    </x:row>
    <x:row r="84">
      <x:c r="A84" s="17" t="str"/>
      <x:c r="B84" s="17" t="str"/>
      <x:c r="C84" s="17" t="str"/>
      <x:c r="D84" s="17" t="str"/>
      <x:c r="E84" s="32"/>
      <x:c r="F84" s="32" t="str">
        <x:f>IF(A84="","",SUMIFS('4_进货记录'!$E:$E,'4_进货记录'!$C:$C,A84,'4_进货记录'!$I:$I,"已入库"))</x:f>
      </x:c>
      <x:c r="G84" s="32"/>
      <x:c r="H84" s="32" t="str">
        <x:f>IF(A84="","",SUMIFS('5_盘点与报损'!$G:$G,'5_盘点与报损'!$B:$B,A84,'5_盘点与报损'!$C:$C,"报损"))</x:f>
      </x:c>
      <x:c r="I84" s="32"/>
      <x:c r="J84" s="32" t="n">
        <x:f>IF(I84&lt;&gt;"",I84,N(E84)+N(F84)-N(G84)-N(H84))</x:f>
        <x:v>0</x:v>
      </x:c>
      <x:c r="K84" s="32"/>
      <x:c r="L84" s="32"/>
      <x:c r="M84" s="32"/>
      <x:c r="N84" s="32" t="n">
        <x:f>N(K84)+N(L84)*N(M84)</x:f>
        <x:v>0</x:v>
      </x:c>
      <x:c r="O84" s="32" t="str">
        <x:f>IF(J84="","",MAX(0,N84-J84))</x:f>
      </x:c>
      <x:c r="P84" s="33"/>
      <x:c r="Q84" s="33" t="str">
        <x:f>IF(J84="","",J84*N(P84))</x:f>
      </x:c>
      <x:c r="R84" s="34" t="str">
        <x:f>IFERROR(J84/L84,"")</x:f>
      </x:c>
      <x:c r="S84" s="17" t="str">
        <x:f>IF(A84="","",IF(J84&lt;=0,"缺货",IF(J84&lt;=K84,"低于安全库存",IF(J84&lt;=N84,"建议补货","正常"))))</x:f>
      </x:c>
      <x:c r="T84" s="17" t="str"/>
    </x:row>
    <x:row r="85">
      <x:c r="A85" s="17" t="str"/>
      <x:c r="B85" s="17" t="str"/>
      <x:c r="C85" s="17" t="str"/>
      <x:c r="D85" s="17" t="str"/>
      <x:c r="E85" s="32"/>
      <x:c r="F85" s="32" t="str">
        <x:f>IF(A85="","",SUMIFS('4_进货记录'!$E:$E,'4_进货记录'!$C:$C,A85,'4_进货记录'!$I:$I,"已入库"))</x:f>
      </x:c>
      <x:c r="G85" s="32"/>
      <x:c r="H85" s="32" t="str">
        <x:f>IF(A85="","",SUMIFS('5_盘点与报损'!$G:$G,'5_盘点与报损'!$B:$B,A85,'5_盘点与报损'!$C:$C,"报损"))</x:f>
      </x:c>
      <x:c r="I85" s="32"/>
      <x:c r="J85" s="32" t="n">
        <x:f>IF(I85&lt;&gt;"",I85,N(E85)+N(F85)-N(G85)-N(H85))</x:f>
        <x:v>0</x:v>
      </x:c>
      <x:c r="K85" s="32"/>
      <x:c r="L85" s="32"/>
      <x:c r="M85" s="32"/>
      <x:c r="N85" s="32" t="n">
        <x:f>N(K85)+N(L85)*N(M85)</x:f>
        <x:v>0</x:v>
      </x:c>
      <x:c r="O85" s="32" t="str">
        <x:f>IF(J85="","",MAX(0,N85-J85))</x:f>
      </x:c>
      <x:c r="P85" s="33"/>
      <x:c r="Q85" s="33" t="str">
        <x:f>IF(J85="","",J85*N(P85))</x:f>
      </x:c>
      <x:c r="R85" s="34" t="str">
        <x:f>IFERROR(J85/L85,"")</x:f>
      </x:c>
      <x:c r="S85" s="17" t="str">
        <x:f>IF(A85="","",IF(J85&lt;=0,"缺货",IF(J85&lt;=K85,"低于安全库存",IF(J85&lt;=N85,"建议补货","正常"))))</x:f>
      </x:c>
      <x:c r="T85" s="17" t="str"/>
    </x:row>
    <x:row r="86">
      <x:c r="A86" s="17" t="str"/>
      <x:c r="B86" s="17" t="str"/>
      <x:c r="C86" s="17" t="str"/>
      <x:c r="D86" s="17" t="str"/>
      <x:c r="E86" s="32"/>
      <x:c r="F86" s="32" t="str">
        <x:f>IF(A86="","",SUMIFS('4_进货记录'!$E:$E,'4_进货记录'!$C:$C,A86,'4_进货记录'!$I:$I,"已入库"))</x:f>
      </x:c>
      <x:c r="G86" s="32"/>
      <x:c r="H86" s="32" t="str">
        <x:f>IF(A86="","",SUMIFS('5_盘点与报损'!$G:$G,'5_盘点与报损'!$B:$B,A86,'5_盘点与报损'!$C:$C,"报损"))</x:f>
      </x:c>
      <x:c r="I86" s="32"/>
      <x:c r="J86" s="32" t="n">
        <x:f>IF(I86&lt;&gt;"",I86,N(E86)+N(F86)-N(G86)-N(H86))</x:f>
        <x:v>0</x:v>
      </x:c>
      <x:c r="K86" s="32"/>
      <x:c r="L86" s="32"/>
      <x:c r="M86" s="32"/>
      <x:c r="N86" s="32" t="n">
        <x:f>N(K86)+N(L86)*N(M86)</x:f>
        <x:v>0</x:v>
      </x:c>
      <x:c r="O86" s="32" t="str">
        <x:f>IF(J86="","",MAX(0,N86-J86))</x:f>
      </x:c>
      <x:c r="P86" s="33"/>
      <x:c r="Q86" s="33" t="str">
        <x:f>IF(J86="","",J86*N(P86))</x:f>
      </x:c>
      <x:c r="R86" s="34" t="str">
        <x:f>IFERROR(J86/L86,"")</x:f>
      </x:c>
      <x:c r="S86" s="17" t="str">
        <x:f>IF(A86="","",IF(J86&lt;=0,"缺货",IF(J86&lt;=K86,"低于安全库存",IF(J86&lt;=N86,"建议补货","正常"))))</x:f>
      </x:c>
      <x:c r="T86" s="17" t="str"/>
    </x:row>
    <x:row r="87">
      <x:c r="A87" s="17" t="str"/>
      <x:c r="B87" s="17" t="str"/>
      <x:c r="C87" s="17" t="str"/>
      <x:c r="D87" s="17" t="str"/>
      <x:c r="E87" s="32"/>
      <x:c r="F87" s="32" t="str">
        <x:f>IF(A87="","",SUMIFS('4_进货记录'!$E:$E,'4_进货记录'!$C:$C,A87,'4_进货记录'!$I:$I,"已入库"))</x:f>
      </x:c>
      <x:c r="G87" s="32"/>
      <x:c r="H87" s="32" t="str">
        <x:f>IF(A87="","",SUMIFS('5_盘点与报损'!$G:$G,'5_盘点与报损'!$B:$B,A87,'5_盘点与报损'!$C:$C,"报损"))</x:f>
      </x:c>
      <x:c r="I87" s="32"/>
      <x:c r="J87" s="32" t="n">
        <x:f>IF(I87&lt;&gt;"",I87,N(E87)+N(F87)-N(G87)-N(H87))</x:f>
        <x:v>0</x:v>
      </x:c>
      <x:c r="K87" s="32"/>
      <x:c r="L87" s="32"/>
      <x:c r="M87" s="32"/>
      <x:c r="N87" s="32" t="n">
        <x:f>N(K87)+N(L87)*N(M87)</x:f>
        <x:v>0</x:v>
      </x:c>
      <x:c r="O87" s="32" t="str">
        <x:f>IF(J87="","",MAX(0,N87-J87))</x:f>
      </x:c>
      <x:c r="P87" s="33"/>
      <x:c r="Q87" s="33" t="str">
        <x:f>IF(J87="","",J87*N(P87))</x:f>
      </x:c>
      <x:c r="R87" s="34" t="str">
        <x:f>IFERROR(J87/L87,"")</x:f>
      </x:c>
      <x:c r="S87" s="17" t="str">
        <x:f>IF(A87="","",IF(J87&lt;=0,"缺货",IF(J87&lt;=K87,"低于安全库存",IF(J87&lt;=N87,"建议补货","正常"))))</x:f>
      </x:c>
      <x:c r="T87" s="17" t="str"/>
    </x:row>
    <x:row r="88">
      <x:c r="A88" s="17" t="str"/>
      <x:c r="B88" s="17" t="str"/>
      <x:c r="C88" s="17" t="str"/>
      <x:c r="D88" s="17" t="str"/>
      <x:c r="E88" s="32"/>
      <x:c r="F88" s="32" t="str">
        <x:f>IF(A88="","",SUMIFS('4_进货记录'!$E:$E,'4_进货记录'!$C:$C,A88,'4_进货记录'!$I:$I,"已入库"))</x:f>
      </x:c>
      <x:c r="G88" s="32"/>
      <x:c r="H88" s="32" t="str">
        <x:f>IF(A88="","",SUMIFS('5_盘点与报损'!$G:$G,'5_盘点与报损'!$B:$B,A88,'5_盘点与报损'!$C:$C,"报损"))</x:f>
      </x:c>
      <x:c r="I88" s="32"/>
      <x:c r="J88" s="32" t="n">
        <x:f>IF(I88&lt;&gt;"",I88,N(E88)+N(F88)-N(G88)-N(H88))</x:f>
        <x:v>0</x:v>
      </x:c>
      <x:c r="K88" s="32"/>
      <x:c r="L88" s="32"/>
      <x:c r="M88" s="32"/>
      <x:c r="N88" s="32" t="n">
        <x:f>N(K88)+N(L88)*N(M88)</x:f>
        <x:v>0</x:v>
      </x:c>
      <x:c r="O88" s="32" t="str">
        <x:f>IF(J88="","",MAX(0,N88-J88))</x:f>
      </x:c>
      <x:c r="P88" s="33"/>
      <x:c r="Q88" s="33" t="str">
        <x:f>IF(J88="","",J88*N(P88))</x:f>
      </x:c>
      <x:c r="R88" s="34" t="str">
        <x:f>IFERROR(J88/L88,"")</x:f>
      </x:c>
      <x:c r="S88" s="17" t="str">
        <x:f>IF(A88="","",IF(J88&lt;=0,"缺货",IF(J88&lt;=K88,"低于安全库存",IF(J88&lt;=N88,"建议补货","正常"))))</x:f>
      </x:c>
      <x:c r="T88" s="17" t="str"/>
    </x:row>
    <x:row r="89">
      <x:c r="A89" s="17" t="str"/>
      <x:c r="B89" s="17" t="str"/>
      <x:c r="C89" s="17" t="str"/>
      <x:c r="D89" s="17" t="str"/>
      <x:c r="E89" s="32"/>
      <x:c r="F89" s="32" t="str">
        <x:f>IF(A89="","",SUMIFS('4_进货记录'!$E:$E,'4_进货记录'!$C:$C,A89,'4_进货记录'!$I:$I,"已入库"))</x:f>
      </x:c>
      <x:c r="G89" s="32"/>
      <x:c r="H89" s="32" t="str">
        <x:f>IF(A89="","",SUMIFS('5_盘点与报损'!$G:$G,'5_盘点与报损'!$B:$B,A89,'5_盘点与报损'!$C:$C,"报损"))</x:f>
      </x:c>
      <x:c r="I89" s="32"/>
      <x:c r="J89" s="32" t="n">
        <x:f>IF(I89&lt;&gt;"",I89,N(E89)+N(F89)-N(G89)-N(H89))</x:f>
        <x:v>0</x:v>
      </x:c>
      <x:c r="K89" s="32"/>
      <x:c r="L89" s="32"/>
      <x:c r="M89" s="32"/>
      <x:c r="N89" s="32" t="n">
        <x:f>N(K89)+N(L89)*N(M89)</x:f>
        <x:v>0</x:v>
      </x:c>
      <x:c r="O89" s="32" t="str">
        <x:f>IF(J89="","",MAX(0,N89-J89))</x:f>
      </x:c>
      <x:c r="P89" s="33"/>
      <x:c r="Q89" s="33" t="str">
        <x:f>IF(J89="","",J89*N(P89))</x:f>
      </x:c>
      <x:c r="R89" s="34" t="str">
        <x:f>IFERROR(J89/L89,"")</x:f>
      </x:c>
      <x:c r="S89" s="17" t="str">
        <x:f>IF(A89="","",IF(J89&lt;=0,"缺货",IF(J89&lt;=K89,"低于安全库存",IF(J89&lt;=N89,"建议补货","正常"))))</x:f>
      </x:c>
      <x:c r="T89" s="17" t="str"/>
    </x:row>
    <x:row r="90">
      <x:c r="A90" s="17" t="str"/>
      <x:c r="B90" s="17" t="str"/>
      <x:c r="C90" s="17" t="str"/>
      <x:c r="D90" s="17" t="str"/>
      <x:c r="E90" s="32"/>
      <x:c r="F90" s="32" t="str">
        <x:f>IF(A90="","",SUMIFS('4_进货记录'!$E:$E,'4_进货记录'!$C:$C,A90,'4_进货记录'!$I:$I,"已入库"))</x:f>
      </x:c>
      <x:c r="G90" s="32"/>
      <x:c r="H90" s="32" t="str">
        <x:f>IF(A90="","",SUMIFS('5_盘点与报损'!$G:$G,'5_盘点与报损'!$B:$B,A90,'5_盘点与报损'!$C:$C,"报损"))</x:f>
      </x:c>
      <x:c r="I90" s="32"/>
      <x:c r="J90" s="32" t="n">
        <x:f>IF(I90&lt;&gt;"",I90,N(E90)+N(F90)-N(G90)-N(H90))</x:f>
        <x:v>0</x:v>
      </x:c>
      <x:c r="K90" s="32"/>
      <x:c r="L90" s="32"/>
      <x:c r="M90" s="32"/>
      <x:c r="N90" s="32" t="n">
        <x:f>N(K90)+N(L90)*N(M90)</x:f>
        <x:v>0</x:v>
      </x:c>
      <x:c r="O90" s="32" t="str">
        <x:f>IF(J90="","",MAX(0,N90-J90))</x:f>
      </x:c>
      <x:c r="P90" s="33"/>
      <x:c r="Q90" s="33" t="str">
        <x:f>IF(J90="","",J90*N(P90))</x:f>
      </x:c>
      <x:c r="R90" s="34" t="str">
        <x:f>IFERROR(J90/L90,"")</x:f>
      </x:c>
      <x:c r="S90" s="17" t="str">
        <x:f>IF(A90="","",IF(J90&lt;=0,"缺货",IF(J90&lt;=K90,"低于安全库存",IF(J90&lt;=N90,"建议补货","正常"))))</x:f>
      </x:c>
      <x:c r="T90" s="17" t="str"/>
    </x:row>
    <x:row r="91">
      <x:c r="A91" s="17" t="str"/>
      <x:c r="B91" s="17" t="str"/>
      <x:c r="C91" s="17" t="str"/>
      <x:c r="D91" s="17" t="str"/>
      <x:c r="E91" s="32"/>
      <x:c r="F91" s="32" t="str">
        <x:f>IF(A91="","",SUMIFS('4_进货记录'!$E:$E,'4_进货记录'!$C:$C,A91,'4_进货记录'!$I:$I,"已入库"))</x:f>
      </x:c>
      <x:c r="G91" s="32"/>
      <x:c r="H91" s="32" t="str">
        <x:f>IF(A91="","",SUMIFS('5_盘点与报损'!$G:$G,'5_盘点与报损'!$B:$B,A91,'5_盘点与报损'!$C:$C,"报损"))</x:f>
      </x:c>
      <x:c r="I91" s="32"/>
      <x:c r="J91" s="32" t="n">
        <x:f>IF(I91&lt;&gt;"",I91,N(E91)+N(F91)-N(G91)-N(H91))</x:f>
        <x:v>0</x:v>
      </x:c>
      <x:c r="K91" s="32"/>
      <x:c r="L91" s="32"/>
      <x:c r="M91" s="32"/>
      <x:c r="N91" s="32" t="n">
        <x:f>N(K91)+N(L91)*N(M91)</x:f>
        <x:v>0</x:v>
      </x:c>
      <x:c r="O91" s="32" t="str">
        <x:f>IF(J91="","",MAX(0,N91-J91))</x:f>
      </x:c>
      <x:c r="P91" s="33"/>
      <x:c r="Q91" s="33" t="str">
        <x:f>IF(J91="","",J91*N(P91))</x:f>
      </x:c>
      <x:c r="R91" s="34" t="str">
        <x:f>IFERROR(J91/L91,"")</x:f>
      </x:c>
      <x:c r="S91" s="17" t="str">
        <x:f>IF(A91="","",IF(J91&lt;=0,"缺货",IF(J91&lt;=K91,"低于安全库存",IF(J91&lt;=N91,"建议补货","正常"))))</x:f>
      </x:c>
      <x:c r="T91" s="17" t="str"/>
    </x:row>
    <x:row r="92">
      <x:c r="A92" s="17" t="str"/>
      <x:c r="B92" s="17" t="str"/>
      <x:c r="C92" s="17" t="str"/>
      <x:c r="D92" s="17" t="str"/>
      <x:c r="E92" s="32"/>
      <x:c r="F92" s="32" t="str">
        <x:f>IF(A92="","",SUMIFS('4_进货记录'!$E:$E,'4_进货记录'!$C:$C,A92,'4_进货记录'!$I:$I,"已入库"))</x:f>
      </x:c>
      <x:c r="G92" s="32"/>
      <x:c r="H92" s="32" t="str">
        <x:f>IF(A92="","",SUMIFS('5_盘点与报损'!$G:$G,'5_盘点与报损'!$B:$B,A92,'5_盘点与报损'!$C:$C,"报损"))</x:f>
      </x:c>
      <x:c r="I92" s="32"/>
      <x:c r="J92" s="32" t="n">
        <x:f>IF(I92&lt;&gt;"",I92,N(E92)+N(F92)-N(G92)-N(H92))</x:f>
        <x:v>0</x:v>
      </x:c>
      <x:c r="K92" s="32"/>
      <x:c r="L92" s="32"/>
      <x:c r="M92" s="32"/>
      <x:c r="N92" s="32" t="n">
        <x:f>N(K92)+N(L92)*N(M92)</x:f>
        <x:v>0</x:v>
      </x:c>
      <x:c r="O92" s="32" t="str">
        <x:f>IF(J92="","",MAX(0,N92-J92))</x:f>
      </x:c>
      <x:c r="P92" s="33"/>
      <x:c r="Q92" s="33" t="str">
        <x:f>IF(J92="","",J92*N(P92))</x:f>
      </x:c>
      <x:c r="R92" s="34" t="str">
        <x:f>IFERROR(J92/L92,"")</x:f>
      </x:c>
      <x:c r="S92" s="17" t="str">
        <x:f>IF(A92="","",IF(J92&lt;=0,"缺货",IF(J92&lt;=K92,"低于安全库存",IF(J92&lt;=N92,"建议补货","正常"))))</x:f>
      </x:c>
      <x:c r="T92" s="17" t="str"/>
    </x:row>
    <x:row r="93">
      <x:c r="A93" s="17" t="str"/>
      <x:c r="B93" s="17" t="str"/>
      <x:c r="C93" s="17" t="str"/>
      <x:c r="D93" s="17" t="str"/>
      <x:c r="E93" s="32"/>
      <x:c r="F93" s="32" t="str">
        <x:f>IF(A93="","",SUMIFS('4_进货记录'!$E:$E,'4_进货记录'!$C:$C,A93,'4_进货记录'!$I:$I,"已入库"))</x:f>
      </x:c>
      <x:c r="G93" s="32"/>
      <x:c r="H93" s="32" t="str">
        <x:f>IF(A93="","",SUMIFS('5_盘点与报损'!$G:$G,'5_盘点与报损'!$B:$B,A93,'5_盘点与报损'!$C:$C,"报损"))</x:f>
      </x:c>
      <x:c r="I93" s="32"/>
      <x:c r="J93" s="32" t="n">
        <x:f>IF(I93&lt;&gt;"",I93,N(E93)+N(F93)-N(G93)-N(H93))</x:f>
        <x:v>0</x:v>
      </x:c>
      <x:c r="K93" s="32"/>
      <x:c r="L93" s="32"/>
      <x:c r="M93" s="32"/>
      <x:c r="N93" s="32" t="n">
        <x:f>N(K93)+N(L93)*N(M93)</x:f>
        <x:v>0</x:v>
      </x:c>
      <x:c r="O93" s="32" t="str">
        <x:f>IF(J93="","",MAX(0,N93-J93))</x:f>
      </x:c>
      <x:c r="P93" s="33"/>
      <x:c r="Q93" s="33" t="str">
        <x:f>IF(J93="","",J93*N(P93))</x:f>
      </x:c>
      <x:c r="R93" s="34" t="str">
        <x:f>IFERROR(J93/L93,"")</x:f>
      </x:c>
      <x:c r="S93" s="17" t="str">
        <x:f>IF(A93="","",IF(J93&lt;=0,"缺货",IF(J93&lt;=K93,"低于安全库存",IF(J93&lt;=N93,"建议补货","正常"))))</x:f>
      </x:c>
      <x:c r="T93" s="17" t="str"/>
    </x:row>
    <x:row r="94">
      <x:c r="A94" s="17" t="str"/>
      <x:c r="B94" s="17" t="str"/>
      <x:c r="C94" s="17" t="str"/>
      <x:c r="D94" s="17" t="str"/>
      <x:c r="E94" s="32"/>
      <x:c r="F94" s="32" t="str">
        <x:f>IF(A94="","",SUMIFS('4_进货记录'!$E:$E,'4_进货记录'!$C:$C,A94,'4_进货记录'!$I:$I,"已入库"))</x:f>
      </x:c>
      <x:c r="G94" s="32"/>
      <x:c r="H94" s="32" t="str">
        <x:f>IF(A94="","",SUMIFS('5_盘点与报损'!$G:$G,'5_盘点与报损'!$B:$B,A94,'5_盘点与报损'!$C:$C,"报损"))</x:f>
      </x:c>
      <x:c r="I94" s="32"/>
      <x:c r="J94" s="32" t="n">
        <x:f>IF(I94&lt;&gt;"",I94,N(E94)+N(F94)-N(G94)-N(H94))</x:f>
        <x:v>0</x:v>
      </x:c>
      <x:c r="K94" s="32"/>
      <x:c r="L94" s="32"/>
      <x:c r="M94" s="32"/>
      <x:c r="N94" s="32" t="n">
        <x:f>N(K94)+N(L94)*N(M94)</x:f>
        <x:v>0</x:v>
      </x:c>
      <x:c r="O94" s="32" t="str">
        <x:f>IF(J94="","",MAX(0,N94-J94))</x:f>
      </x:c>
      <x:c r="P94" s="33"/>
      <x:c r="Q94" s="33" t="str">
        <x:f>IF(J94="","",J94*N(P94))</x:f>
      </x:c>
      <x:c r="R94" s="34" t="str">
        <x:f>IFERROR(J94/L94,"")</x:f>
      </x:c>
      <x:c r="S94" s="17" t="str">
        <x:f>IF(A94="","",IF(J94&lt;=0,"缺货",IF(J94&lt;=K94,"低于安全库存",IF(J94&lt;=N94,"建议补货","正常"))))</x:f>
      </x:c>
      <x:c r="T94" s="17" t="str"/>
    </x:row>
    <x:row r="95">
      <x:c r="A95" s="17" t="str"/>
      <x:c r="B95" s="17" t="str"/>
      <x:c r="C95" s="17" t="str"/>
      <x:c r="D95" s="17" t="str"/>
      <x:c r="E95" s="32"/>
      <x:c r="F95" s="32" t="str">
        <x:f>IF(A95="","",SUMIFS('4_进货记录'!$E:$E,'4_进货记录'!$C:$C,A95,'4_进货记录'!$I:$I,"已入库"))</x:f>
      </x:c>
      <x:c r="G95" s="32"/>
      <x:c r="H95" s="32" t="str">
        <x:f>IF(A95="","",SUMIFS('5_盘点与报损'!$G:$G,'5_盘点与报损'!$B:$B,A95,'5_盘点与报损'!$C:$C,"报损"))</x:f>
      </x:c>
      <x:c r="I95" s="32"/>
      <x:c r="J95" s="32" t="n">
        <x:f>IF(I95&lt;&gt;"",I95,N(E95)+N(F95)-N(G95)-N(H95))</x:f>
        <x:v>0</x:v>
      </x:c>
      <x:c r="K95" s="32"/>
      <x:c r="L95" s="32"/>
      <x:c r="M95" s="32"/>
      <x:c r="N95" s="32" t="n">
        <x:f>N(K95)+N(L95)*N(M95)</x:f>
        <x:v>0</x:v>
      </x:c>
      <x:c r="O95" s="32" t="str">
        <x:f>IF(J95="","",MAX(0,N95-J95))</x:f>
      </x:c>
      <x:c r="P95" s="33"/>
      <x:c r="Q95" s="33" t="str">
        <x:f>IF(J95="","",J95*N(P95))</x:f>
      </x:c>
      <x:c r="R95" s="34" t="str">
        <x:f>IFERROR(J95/L95,"")</x:f>
      </x:c>
      <x:c r="S95" s="17" t="str">
        <x:f>IF(A95="","",IF(J95&lt;=0,"缺货",IF(J95&lt;=K95,"低于安全库存",IF(J95&lt;=N95,"建议补货","正常"))))</x:f>
      </x:c>
      <x:c r="T95" s="17" t="str"/>
    </x:row>
    <x:row r="96">
      <x:c r="A96" s="17" t="str"/>
      <x:c r="B96" s="17" t="str"/>
      <x:c r="C96" s="17" t="str"/>
      <x:c r="D96" s="17" t="str"/>
      <x:c r="E96" s="32"/>
      <x:c r="F96" s="32" t="str">
        <x:f>IF(A96="","",SUMIFS('4_进货记录'!$E:$E,'4_进货记录'!$C:$C,A96,'4_进货记录'!$I:$I,"已入库"))</x:f>
      </x:c>
      <x:c r="G96" s="32"/>
      <x:c r="H96" s="32" t="str">
        <x:f>IF(A96="","",SUMIFS('5_盘点与报损'!$G:$G,'5_盘点与报损'!$B:$B,A96,'5_盘点与报损'!$C:$C,"报损"))</x:f>
      </x:c>
      <x:c r="I96" s="32"/>
      <x:c r="J96" s="32" t="n">
        <x:f>IF(I96&lt;&gt;"",I96,N(E96)+N(F96)-N(G96)-N(H96))</x:f>
        <x:v>0</x:v>
      </x:c>
      <x:c r="K96" s="32"/>
      <x:c r="L96" s="32"/>
      <x:c r="M96" s="32"/>
      <x:c r="N96" s="32" t="n">
        <x:f>N(K96)+N(L96)*N(M96)</x:f>
        <x:v>0</x:v>
      </x:c>
      <x:c r="O96" s="32" t="str">
        <x:f>IF(J96="","",MAX(0,N96-J96))</x:f>
      </x:c>
      <x:c r="P96" s="33"/>
      <x:c r="Q96" s="33" t="str">
        <x:f>IF(J96="","",J96*N(P96))</x:f>
      </x:c>
      <x:c r="R96" s="34" t="str">
        <x:f>IFERROR(J96/L96,"")</x:f>
      </x:c>
      <x:c r="S96" s="17" t="str">
        <x:f>IF(A96="","",IF(J96&lt;=0,"缺货",IF(J96&lt;=K96,"低于安全库存",IF(J96&lt;=N96,"建议补货","正常"))))</x:f>
      </x:c>
      <x:c r="T96" s="17" t="str"/>
    </x:row>
    <x:row r="97">
      <x:c r="A97" s="17" t="str"/>
      <x:c r="B97" s="17" t="str"/>
      <x:c r="C97" s="17" t="str"/>
      <x:c r="D97" s="17" t="str"/>
      <x:c r="E97" s="32"/>
      <x:c r="F97" s="32" t="str">
        <x:f>IF(A97="","",SUMIFS('4_进货记录'!$E:$E,'4_进货记录'!$C:$C,A97,'4_进货记录'!$I:$I,"已入库"))</x:f>
      </x:c>
      <x:c r="G97" s="32"/>
      <x:c r="H97" s="32" t="str">
        <x:f>IF(A97="","",SUMIFS('5_盘点与报损'!$G:$G,'5_盘点与报损'!$B:$B,A97,'5_盘点与报损'!$C:$C,"报损"))</x:f>
      </x:c>
      <x:c r="I97" s="32"/>
      <x:c r="J97" s="32" t="n">
        <x:f>IF(I97&lt;&gt;"",I97,N(E97)+N(F97)-N(G97)-N(H97))</x:f>
        <x:v>0</x:v>
      </x:c>
      <x:c r="K97" s="32"/>
      <x:c r="L97" s="32"/>
      <x:c r="M97" s="32"/>
      <x:c r="N97" s="32" t="n">
        <x:f>N(K97)+N(L97)*N(M97)</x:f>
        <x:v>0</x:v>
      </x:c>
      <x:c r="O97" s="32" t="str">
        <x:f>IF(J97="","",MAX(0,N97-J97))</x:f>
      </x:c>
      <x:c r="P97" s="33"/>
      <x:c r="Q97" s="33" t="str">
        <x:f>IF(J97="","",J97*N(P97))</x:f>
      </x:c>
      <x:c r="R97" s="34" t="str">
        <x:f>IFERROR(J97/L97,"")</x:f>
      </x:c>
      <x:c r="S97" s="17" t="str">
        <x:f>IF(A97="","",IF(J97&lt;=0,"缺货",IF(J97&lt;=K97,"低于安全库存",IF(J97&lt;=N97,"建议补货","正常"))))</x:f>
      </x:c>
      <x:c r="T97" s="17" t="str"/>
    </x:row>
    <x:row r="98">
      <x:c r="A98" s="17" t="str"/>
      <x:c r="B98" s="17" t="str"/>
      <x:c r="C98" s="17" t="str"/>
      <x:c r="D98" s="17" t="str"/>
      <x:c r="E98" s="32"/>
      <x:c r="F98" s="32" t="str">
        <x:f>IF(A98="","",SUMIFS('4_进货记录'!$E:$E,'4_进货记录'!$C:$C,A98,'4_进货记录'!$I:$I,"已入库"))</x:f>
      </x:c>
      <x:c r="G98" s="32"/>
      <x:c r="H98" s="32" t="str">
        <x:f>IF(A98="","",SUMIFS('5_盘点与报损'!$G:$G,'5_盘点与报损'!$B:$B,A98,'5_盘点与报损'!$C:$C,"报损"))</x:f>
      </x:c>
      <x:c r="I98" s="32"/>
      <x:c r="J98" s="32" t="n">
        <x:f>IF(I98&lt;&gt;"",I98,N(E98)+N(F98)-N(G98)-N(H98))</x:f>
        <x:v>0</x:v>
      </x:c>
      <x:c r="K98" s="32"/>
      <x:c r="L98" s="32"/>
      <x:c r="M98" s="32"/>
      <x:c r="N98" s="32" t="n">
        <x:f>N(K98)+N(L98)*N(M98)</x:f>
        <x:v>0</x:v>
      </x:c>
      <x:c r="O98" s="32" t="str">
        <x:f>IF(J98="","",MAX(0,N98-J98))</x:f>
      </x:c>
      <x:c r="P98" s="33"/>
      <x:c r="Q98" s="33" t="str">
        <x:f>IF(J98="","",J98*N(P98))</x:f>
      </x:c>
      <x:c r="R98" s="34" t="str">
        <x:f>IFERROR(J98/L98,"")</x:f>
      </x:c>
      <x:c r="S98" s="17" t="str">
        <x:f>IF(A98="","",IF(J98&lt;=0,"缺货",IF(J98&lt;=K98,"低于安全库存",IF(J98&lt;=N98,"建议补货","正常"))))</x:f>
      </x:c>
      <x:c r="T98" s="17" t="str"/>
    </x:row>
    <x:row r="99">
      <x:c r="A99" s="17" t="str"/>
      <x:c r="B99" s="17" t="str"/>
      <x:c r="C99" s="17" t="str"/>
      <x:c r="D99" s="17" t="str"/>
      <x:c r="E99" s="32"/>
      <x:c r="F99" s="32" t="str">
        <x:f>IF(A99="","",SUMIFS('4_进货记录'!$E:$E,'4_进货记录'!$C:$C,A99,'4_进货记录'!$I:$I,"已入库"))</x:f>
      </x:c>
      <x:c r="G99" s="32"/>
      <x:c r="H99" s="32" t="str">
        <x:f>IF(A99="","",SUMIFS('5_盘点与报损'!$G:$G,'5_盘点与报损'!$B:$B,A99,'5_盘点与报损'!$C:$C,"报损"))</x:f>
      </x:c>
      <x:c r="I99" s="32"/>
      <x:c r="J99" s="32" t="n">
        <x:f>IF(I99&lt;&gt;"",I99,N(E99)+N(F99)-N(G99)-N(H99))</x:f>
        <x:v>0</x:v>
      </x:c>
      <x:c r="K99" s="32"/>
      <x:c r="L99" s="32"/>
      <x:c r="M99" s="32"/>
      <x:c r="N99" s="32" t="n">
        <x:f>N(K99)+N(L99)*N(M99)</x:f>
        <x:v>0</x:v>
      </x:c>
      <x:c r="O99" s="32" t="str">
        <x:f>IF(J99="","",MAX(0,N99-J99))</x:f>
      </x:c>
      <x:c r="P99" s="33"/>
      <x:c r="Q99" s="33" t="str">
        <x:f>IF(J99="","",J99*N(P99))</x:f>
      </x:c>
      <x:c r="R99" s="34" t="str">
        <x:f>IFERROR(J99/L99,"")</x:f>
      </x:c>
      <x:c r="S99" s="17" t="str">
        <x:f>IF(A99="","",IF(J99&lt;=0,"缺货",IF(J99&lt;=K99,"低于安全库存",IF(J99&lt;=N99,"建议补货","正常"))))</x:f>
      </x:c>
      <x:c r="T99" s="17" t="str"/>
    </x:row>
    <x:row r="100">
      <x:c r="A100" s="17" t="str"/>
      <x:c r="B100" s="17" t="str"/>
      <x:c r="C100" s="17" t="str"/>
      <x:c r="D100" s="17" t="str"/>
      <x:c r="E100" s="32"/>
      <x:c r="F100" s="32" t="str">
        <x:f>IF(A100="","",SUMIFS('4_进货记录'!$E:$E,'4_进货记录'!$C:$C,A100,'4_进货记录'!$I:$I,"已入库"))</x:f>
      </x:c>
      <x:c r="G100" s="32"/>
      <x:c r="H100" s="32" t="str">
        <x:f>IF(A100="","",SUMIFS('5_盘点与报损'!$G:$G,'5_盘点与报损'!$B:$B,A100,'5_盘点与报损'!$C:$C,"报损"))</x:f>
      </x:c>
      <x:c r="I100" s="32"/>
      <x:c r="J100" s="32" t="n">
        <x:f>IF(I100&lt;&gt;"",I100,N(E100)+N(F100)-N(G100)-N(H100))</x:f>
        <x:v>0</x:v>
      </x:c>
      <x:c r="K100" s="32"/>
      <x:c r="L100" s="32"/>
      <x:c r="M100" s="32"/>
      <x:c r="N100" s="32" t="n">
        <x:f>N(K100)+N(L100)*N(M100)</x:f>
        <x:v>0</x:v>
      </x:c>
      <x:c r="O100" s="32" t="str">
        <x:f>IF(J100="","",MAX(0,N100-J100))</x:f>
      </x:c>
      <x:c r="P100" s="33"/>
      <x:c r="Q100" s="33" t="str">
        <x:f>IF(J100="","",J100*N(P100))</x:f>
      </x:c>
      <x:c r="R100" s="34" t="str">
        <x:f>IFERROR(J100/L100,"")</x:f>
      </x:c>
      <x:c r="S100" s="17" t="str">
        <x:f>IF(A100="","",IF(J100&lt;=0,"缺货",IF(J100&lt;=K100,"低于安全库存",IF(J100&lt;=N100,"建议补货","正常"))))</x:f>
      </x:c>
      <x:c r="T100" s="17" t="str"/>
    </x:row>
    <x:row r="101">
      <x:c r="A101" s="17" t="str"/>
      <x:c r="B101" s="17" t="str"/>
      <x:c r="C101" s="17" t="str"/>
      <x:c r="D101" s="17" t="str"/>
      <x:c r="E101" s="32"/>
      <x:c r="F101" s="32" t="str">
        <x:f>IF(A101="","",SUMIFS('4_进货记录'!$E:$E,'4_进货记录'!$C:$C,A101,'4_进货记录'!$I:$I,"已入库"))</x:f>
      </x:c>
      <x:c r="G101" s="32"/>
      <x:c r="H101" s="32" t="str">
        <x:f>IF(A101="","",SUMIFS('5_盘点与报损'!$G:$G,'5_盘点与报损'!$B:$B,A101,'5_盘点与报损'!$C:$C,"报损"))</x:f>
      </x:c>
      <x:c r="I101" s="32"/>
      <x:c r="J101" s="32" t="n">
        <x:f>IF(I101&lt;&gt;"",I101,N(E101)+N(F101)-N(G101)-N(H101))</x:f>
        <x:v>0</x:v>
      </x:c>
      <x:c r="K101" s="32"/>
      <x:c r="L101" s="32"/>
      <x:c r="M101" s="32"/>
      <x:c r="N101" s="32" t="n">
        <x:f>N(K101)+N(L101)*N(M101)</x:f>
        <x:v>0</x:v>
      </x:c>
      <x:c r="O101" s="32" t="str">
        <x:f>IF(J101="","",MAX(0,N101-J101))</x:f>
      </x:c>
      <x:c r="P101" s="33"/>
      <x:c r="Q101" s="33" t="str">
        <x:f>IF(J101="","",J101*N(P101))</x:f>
      </x:c>
      <x:c r="R101" s="34" t="str">
        <x:f>IFERROR(J101/L101,"")</x:f>
      </x:c>
      <x:c r="S101" s="17" t="str">
        <x:f>IF(A101="","",IF(J101&lt;=0,"缺货",IF(J101&lt;=K101,"低于安全库存",IF(J101&lt;=N101,"建议补货","正常"))))</x:f>
      </x:c>
      <x:c r="T101" s="17" t="str"/>
    </x:row>
    <x:row r="102">
      <x:c r="A102" s="17" t="str"/>
      <x:c r="B102" s="17" t="str"/>
      <x:c r="C102" s="17" t="str"/>
      <x:c r="D102" s="17" t="str"/>
      <x:c r="E102" s="32"/>
      <x:c r="F102" s="32" t="str">
        <x:f>IF(A102="","",SUMIFS('4_进货记录'!$E:$E,'4_进货记录'!$C:$C,A102,'4_进货记录'!$I:$I,"已入库"))</x:f>
      </x:c>
      <x:c r="G102" s="32"/>
      <x:c r="H102" s="32" t="str">
        <x:f>IF(A102="","",SUMIFS('5_盘点与报损'!$G:$G,'5_盘点与报损'!$B:$B,A102,'5_盘点与报损'!$C:$C,"报损"))</x:f>
      </x:c>
      <x:c r="I102" s="32"/>
      <x:c r="J102" s="32" t="n">
        <x:f>IF(I102&lt;&gt;"",I102,N(E102)+N(F102)-N(G102)-N(H102))</x:f>
        <x:v>0</x:v>
      </x:c>
      <x:c r="K102" s="32"/>
      <x:c r="L102" s="32"/>
      <x:c r="M102" s="32"/>
      <x:c r="N102" s="32" t="n">
        <x:f>N(K102)+N(L102)*N(M102)</x:f>
        <x:v>0</x:v>
      </x:c>
      <x:c r="O102" s="32" t="str">
        <x:f>IF(J102="","",MAX(0,N102-J102))</x:f>
      </x:c>
      <x:c r="P102" s="33"/>
      <x:c r="Q102" s="33" t="str">
        <x:f>IF(J102="","",J102*N(P102))</x:f>
      </x:c>
      <x:c r="R102" s="34" t="str">
        <x:f>IFERROR(J102/L102,"")</x:f>
      </x:c>
      <x:c r="S102" s="17" t="str">
        <x:f>IF(A102="","",IF(J102&lt;=0,"缺货",IF(J102&lt;=K102,"低于安全库存",IF(J102&lt;=N102,"建议补货","正常"))))</x:f>
      </x:c>
      <x:c r="T102" s="17" t="str"/>
    </x:row>
    <x:row r="103">
      <x:c r="A103" s="17" t="str"/>
      <x:c r="B103" s="17" t="str"/>
      <x:c r="C103" s="17" t="str"/>
      <x:c r="D103" s="17" t="str"/>
      <x:c r="E103" s="32"/>
      <x:c r="F103" s="32" t="str">
        <x:f>IF(A103="","",SUMIFS('4_进货记录'!$E:$E,'4_进货记录'!$C:$C,A103,'4_进货记录'!$I:$I,"已入库"))</x:f>
      </x:c>
      <x:c r="G103" s="32"/>
      <x:c r="H103" s="32" t="str">
        <x:f>IF(A103="","",SUMIFS('5_盘点与报损'!$G:$G,'5_盘点与报损'!$B:$B,A103,'5_盘点与报损'!$C:$C,"报损"))</x:f>
      </x:c>
      <x:c r="I103" s="32"/>
      <x:c r="J103" s="32" t="n">
        <x:f>IF(I103&lt;&gt;"",I103,N(E103)+N(F103)-N(G103)-N(H103))</x:f>
        <x:v>0</x:v>
      </x:c>
      <x:c r="K103" s="32"/>
      <x:c r="L103" s="32"/>
      <x:c r="M103" s="32"/>
      <x:c r="N103" s="32" t="n">
        <x:f>N(K103)+N(L103)*N(M103)</x:f>
        <x:v>0</x:v>
      </x:c>
      <x:c r="O103" s="32" t="str">
        <x:f>IF(J103="","",MAX(0,N103-J103))</x:f>
      </x:c>
      <x:c r="P103" s="33"/>
      <x:c r="Q103" s="33" t="str">
        <x:f>IF(J103="","",J103*N(P103))</x:f>
      </x:c>
      <x:c r="R103" s="34" t="str">
        <x:f>IFERROR(J103/L103,"")</x:f>
      </x:c>
      <x:c r="S103" s="17" t="str">
        <x:f>IF(A103="","",IF(J103&lt;=0,"缺货",IF(J103&lt;=K103,"低于安全库存",IF(J103&lt;=N103,"建议补货","正常"))))</x:f>
      </x:c>
      <x:c r="T103" s="17" t="str"/>
    </x:row>
    <x:row r="104">
      <x:c r="A104" s="17" t="str"/>
      <x:c r="B104" s="17" t="str"/>
      <x:c r="C104" s="17" t="str"/>
      <x:c r="D104" s="17" t="str"/>
      <x:c r="E104" s="32"/>
      <x:c r="F104" s="32" t="str">
        <x:f>IF(A104="","",SUMIFS('4_进货记录'!$E:$E,'4_进货记录'!$C:$C,A104,'4_进货记录'!$I:$I,"已入库"))</x:f>
      </x:c>
      <x:c r="G104" s="32"/>
      <x:c r="H104" s="32" t="str">
        <x:f>IF(A104="","",SUMIFS('5_盘点与报损'!$G:$G,'5_盘点与报损'!$B:$B,A104,'5_盘点与报损'!$C:$C,"报损"))</x:f>
      </x:c>
      <x:c r="I104" s="32"/>
      <x:c r="J104" s="32" t="n">
        <x:f>IF(I104&lt;&gt;"",I104,N(E104)+N(F104)-N(G104)-N(H104))</x:f>
        <x:v>0</x:v>
      </x:c>
      <x:c r="K104" s="32"/>
      <x:c r="L104" s="32"/>
      <x:c r="M104" s="32"/>
      <x:c r="N104" s="32" t="n">
        <x:f>N(K104)+N(L104)*N(M104)</x:f>
        <x:v>0</x:v>
      </x:c>
      <x:c r="O104" s="32" t="str">
        <x:f>IF(J104="","",MAX(0,N104-J104))</x:f>
      </x:c>
      <x:c r="P104" s="33"/>
      <x:c r="Q104" s="33" t="str">
        <x:f>IF(J104="","",J104*N(P104))</x:f>
      </x:c>
      <x:c r="R104" s="34" t="str">
        <x:f>IFERROR(J104/L104,"")</x:f>
      </x:c>
      <x:c r="S104" s="17" t="str">
        <x:f>IF(A104="","",IF(J104&lt;=0,"缺货",IF(J104&lt;=K104,"低于安全库存",IF(J104&lt;=N104,"建议补货","正常"))))</x:f>
      </x:c>
      <x:c r="T104" s="17" t="str"/>
    </x:row>
    <x:row r="105">
      <x:c r="A105" s="17" t="str"/>
      <x:c r="B105" s="17" t="str"/>
      <x:c r="C105" s="17" t="str"/>
      <x:c r="D105" s="17" t="str"/>
      <x:c r="E105" s="32"/>
      <x:c r="F105" s="32" t="str">
        <x:f>IF(A105="","",SUMIFS('4_进货记录'!$E:$E,'4_进货记录'!$C:$C,A105,'4_进货记录'!$I:$I,"已入库"))</x:f>
      </x:c>
      <x:c r="G105" s="32"/>
      <x:c r="H105" s="32" t="str">
        <x:f>IF(A105="","",SUMIFS('5_盘点与报损'!$G:$G,'5_盘点与报损'!$B:$B,A105,'5_盘点与报损'!$C:$C,"报损"))</x:f>
      </x:c>
      <x:c r="I105" s="32"/>
      <x:c r="J105" s="32" t="n">
        <x:f>IF(I105&lt;&gt;"",I105,N(E105)+N(F105)-N(G105)-N(H105))</x:f>
        <x:v>0</x:v>
      </x:c>
      <x:c r="K105" s="32"/>
      <x:c r="L105" s="32"/>
      <x:c r="M105" s="32"/>
      <x:c r="N105" s="32" t="n">
        <x:f>N(K105)+N(L105)*N(M105)</x:f>
        <x:v>0</x:v>
      </x:c>
      <x:c r="O105" s="32" t="str">
        <x:f>IF(J105="","",MAX(0,N105-J105))</x:f>
      </x:c>
      <x:c r="P105" s="33"/>
      <x:c r="Q105" s="33" t="str">
        <x:f>IF(J105="","",J105*N(P105))</x:f>
      </x:c>
      <x:c r="R105" s="34" t="str">
        <x:f>IFERROR(J105/L105,"")</x:f>
      </x:c>
      <x:c r="S105" s="17" t="str">
        <x:f>IF(A105="","",IF(J105&lt;=0,"缺货",IF(J105&lt;=K105,"低于安全库存",IF(J105&lt;=N105,"建议补货","正常"))))</x:f>
      </x:c>
      <x:c r="T105" s="17" t="str"/>
    </x:row>
    <x:row r="106">
      <x:c r="A106" s="17" t="str"/>
      <x:c r="B106" s="17" t="str"/>
      <x:c r="C106" s="17" t="str"/>
      <x:c r="D106" s="17" t="str"/>
      <x:c r="E106" s="32"/>
      <x:c r="F106" s="32" t="str">
        <x:f>IF(A106="","",SUMIFS('4_进货记录'!$E:$E,'4_进货记录'!$C:$C,A106,'4_进货记录'!$I:$I,"已入库"))</x:f>
      </x:c>
      <x:c r="G106" s="32"/>
      <x:c r="H106" s="32" t="str">
        <x:f>IF(A106="","",SUMIFS('5_盘点与报损'!$G:$G,'5_盘点与报损'!$B:$B,A106,'5_盘点与报损'!$C:$C,"报损"))</x:f>
      </x:c>
      <x:c r="I106" s="32"/>
      <x:c r="J106" s="32" t="n">
        <x:f>IF(I106&lt;&gt;"",I106,N(E106)+N(F106)-N(G106)-N(H106))</x:f>
        <x:v>0</x:v>
      </x:c>
      <x:c r="K106" s="32"/>
      <x:c r="L106" s="32"/>
      <x:c r="M106" s="32"/>
      <x:c r="N106" s="32" t="n">
        <x:f>N(K106)+N(L106)*N(M106)</x:f>
        <x:v>0</x:v>
      </x:c>
      <x:c r="O106" s="32" t="str">
        <x:f>IF(J106="","",MAX(0,N106-J106))</x:f>
      </x:c>
      <x:c r="P106" s="33"/>
      <x:c r="Q106" s="33" t="str">
        <x:f>IF(J106="","",J106*N(P106))</x:f>
      </x:c>
      <x:c r="R106" s="34" t="str">
        <x:f>IFERROR(J106/L106,"")</x:f>
      </x:c>
      <x:c r="S106" s="17" t="str">
        <x:f>IF(A106="","",IF(J106&lt;=0,"缺货",IF(J106&lt;=K106,"低于安全库存",IF(J106&lt;=N106,"建议补货","正常"))))</x:f>
      </x:c>
      <x:c r="T106" s="17" t="str"/>
    </x:row>
    <x:row r="107">
      <x:c r="A107" s="17" t="str"/>
      <x:c r="B107" s="17" t="str"/>
      <x:c r="C107" s="17" t="str"/>
      <x:c r="D107" s="17" t="str"/>
      <x:c r="E107" s="32"/>
      <x:c r="F107" s="32" t="str">
        <x:f>IF(A107="","",SUMIFS('4_进货记录'!$E:$E,'4_进货记录'!$C:$C,A107,'4_进货记录'!$I:$I,"已入库"))</x:f>
      </x:c>
      <x:c r="G107" s="32"/>
      <x:c r="H107" s="32" t="str">
        <x:f>IF(A107="","",SUMIFS('5_盘点与报损'!$G:$G,'5_盘点与报损'!$B:$B,A107,'5_盘点与报损'!$C:$C,"报损"))</x:f>
      </x:c>
      <x:c r="I107" s="32"/>
      <x:c r="J107" s="32" t="n">
        <x:f>IF(I107&lt;&gt;"",I107,N(E107)+N(F107)-N(G107)-N(H107))</x:f>
        <x:v>0</x:v>
      </x:c>
      <x:c r="K107" s="32"/>
      <x:c r="L107" s="32"/>
      <x:c r="M107" s="32"/>
      <x:c r="N107" s="32" t="n">
        <x:f>N(K107)+N(L107)*N(M107)</x:f>
        <x:v>0</x:v>
      </x:c>
      <x:c r="O107" s="32" t="str">
        <x:f>IF(J107="","",MAX(0,N107-J107))</x:f>
      </x:c>
      <x:c r="P107" s="33"/>
      <x:c r="Q107" s="33" t="str">
        <x:f>IF(J107="","",J107*N(P107))</x:f>
      </x:c>
      <x:c r="R107" s="34" t="str">
        <x:f>IFERROR(J107/L107,"")</x:f>
      </x:c>
      <x:c r="S107" s="17" t="str">
        <x:f>IF(A107="","",IF(J107&lt;=0,"缺货",IF(J107&lt;=K107,"低于安全库存",IF(J107&lt;=N107,"建议补货","正常"))))</x:f>
      </x:c>
      <x:c r="T107" s="17" t="str"/>
    </x:row>
    <x:row r="108">
      <x:c r="A108" s="17" t="str"/>
      <x:c r="B108" s="17" t="str"/>
      <x:c r="C108" s="17" t="str"/>
      <x:c r="D108" s="17" t="str"/>
      <x:c r="E108" s="32"/>
      <x:c r="F108" s="32" t="str">
        <x:f>IF(A108="","",SUMIFS('4_进货记录'!$E:$E,'4_进货记录'!$C:$C,A108,'4_进货记录'!$I:$I,"已入库"))</x:f>
      </x:c>
      <x:c r="G108" s="32"/>
      <x:c r="H108" s="32" t="str">
        <x:f>IF(A108="","",SUMIFS('5_盘点与报损'!$G:$G,'5_盘点与报损'!$B:$B,A108,'5_盘点与报损'!$C:$C,"报损"))</x:f>
      </x:c>
      <x:c r="I108" s="32"/>
      <x:c r="J108" s="32" t="n">
        <x:f>IF(I108&lt;&gt;"",I108,N(E108)+N(F108)-N(G108)-N(H108))</x:f>
        <x:v>0</x:v>
      </x:c>
      <x:c r="K108" s="32"/>
      <x:c r="L108" s="32"/>
      <x:c r="M108" s="32"/>
      <x:c r="N108" s="32" t="n">
        <x:f>N(K108)+N(L108)*N(M108)</x:f>
        <x:v>0</x:v>
      </x:c>
      <x:c r="O108" s="32" t="str">
        <x:f>IF(J108="","",MAX(0,N108-J108))</x:f>
      </x:c>
      <x:c r="P108" s="33"/>
      <x:c r="Q108" s="33" t="str">
        <x:f>IF(J108="","",J108*N(P108))</x:f>
      </x:c>
      <x:c r="R108" s="34" t="str">
        <x:f>IFERROR(J108/L108,"")</x:f>
      </x:c>
      <x:c r="S108" s="17" t="str">
        <x:f>IF(A108="","",IF(J108&lt;=0,"缺货",IF(J108&lt;=K108,"低于安全库存",IF(J108&lt;=N108,"建议补货","正常"))))</x:f>
      </x:c>
      <x:c r="T108" s="17" t="str"/>
    </x:row>
    <x:row r="109">
      <x:c r="A109" s="17" t="str"/>
      <x:c r="B109" s="17" t="str"/>
      <x:c r="C109" s="17" t="str"/>
      <x:c r="D109" s="17" t="str"/>
      <x:c r="E109" s="32"/>
      <x:c r="F109" s="32" t="str">
        <x:f>IF(A109="","",SUMIFS('4_进货记录'!$E:$E,'4_进货记录'!$C:$C,A109,'4_进货记录'!$I:$I,"已入库"))</x:f>
      </x:c>
      <x:c r="G109" s="32"/>
      <x:c r="H109" s="32" t="str">
        <x:f>IF(A109="","",SUMIFS('5_盘点与报损'!$G:$G,'5_盘点与报损'!$B:$B,A109,'5_盘点与报损'!$C:$C,"报损"))</x:f>
      </x:c>
      <x:c r="I109" s="32"/>
      <x:c r="J109" s="32" t="n">
        <x:f>IF(I109&lt;&gt;"",I109,N(E109)+N(F109)-N(G109)-N(H109))</x:f>
        <x:v>0</x:v>
      </x:c>
      <x:c r="K109" s="32"/>
      <x:c r="L109" s="32"/>
      <x:c r="M109" s="32"/>
      <x:c r="N109" s="32" t="n">
        <x:f>N(K109)+N(L109)*N(M109)</x:f>
        <x:v>0</x:v>
      </x:c>
      <x:c r="O109" s="32" t="str">
        <x:f>IF(J109="","",MAX(0,N109-J109))</x:f>
      </x:c>
      <x:c r="P109" s="33"/>
      <x:c r="Q109" s="33" t="str">
        <x:f>IF(J109="","",J109*N(P109))</x:f>
      </x:c>
      <x:c r="R109" s="34" t="str">
        <x:f>IFERROR(J109/L109,"")</x:f>
      </x:c>
      <x:c r="S109" s="17" t="str">
        <x:f>IF(A109="","",IF(J109&lt;=0,"缺货",IF(J109&lt;=K109,"低于安全库存",IF(J109&lt;=N109,"建议补货","正常"))))</x:f>
      </x:c>
      <x:c r="T109" s="17" t="str"/>
    </x:row>
    <x:row r="110">
      <x:c r="A110" s="17" t="str"/>
      <x:c r="B110" s="17" t="str"/>
      <x:c r="C110" s="17" t="str"/>
      <x:c r="D110" s="17" t="str"/>
      <x:c r="E110" s="32"/>
      <x:c r="F110" s="32" t="str">
        <x:f>IF(A110="","",SUMIFS('4_进货记录'!$E:$E,'4_进货记录'!$C:$C,A110,'4_进货记录'!$I:$I,"已入库"))</x:f>
      </x:c>
      <x:c r="G110" s="32"/>
      <x:c r="H110" s="32" t="str">
        <x:f>IF(A110="","",SUMIFS('5_盘点与报损'!$G:$G,'5_盘点与报损'!$B:$B,A110,'5_盘点与报损'!$C:$C,"报损"))</x:f>
      </x:c>
      <x:c r="I110" s="32"/>
      <x:c r="J110" s="32" t="n">
        <x:f>IF(I110&lt;&gt;"",I110,N(E110)+N(F110)-N(G110)-N(H110))</x:f>
        <x:v>0</x:v>
      </x:c>
      <x:c r="K110" s="32"/>
      <x:c r="L110" s="32"/>
      <x:c r="M110" s="32"/>
      <x:c r="N110" s="32" t="n">
        <x:f>N(K110)+N(L110)*N(M110)</x:f>
        <x:v>0</x:v>
      </x:c>
      <x:c r="O110" s="32" t="str">
        <x:f>IF(J110="","",MAX(0,N110-J110))</x:f>
      </x:c>
      <x:c r="P110" s="33"/>
      <x:c r="Q110" s="33" t="str">
        <x:f>IF(J110="","",J110*N(P110))</x:f>
      </x:c>
      <x:c r="R110" s="34" t="str">
        <x:f>IFERROR(J110/L110,"")</x:f>
      </x:c>
      <x:c r="S110" s="17" t="str">
        <x:f>IF(A110="","",IF(J110&lt;=0,"缺货",IF(J110&lt;=K110,"低于安全库存",IF(J110&lt;=N110,"建议补货","正常"))))</x:f>
      </x:c>
      <x:c r="T110" s="17" t="str"/>
    </x:row>
    <x:row r="111">
      <x:c r="A111" s="17" t="str"/>
      <x:c r="B111" s="17" t="str"/>
      <x:c r="C111" s="17" t="str"/>
      <x:c r="D111" s="17" t="str"/>
      <x:c r="E111" s="32"/>
      <x:c r="F111" s="32" t="str">
        <x:f>IF(A111="","",SUMIFS('4_进货记录'!$E:$E,'4_进货记录'!$C:$C,A111,'4_进货记录'!$I:$I,"已入库"))</x:f>
      </x:c>
      <x:c r="G111" s="32"/>
      <x:c r="H111" s="32" t="str">
        <x:f>IF(A111="","",SUMIFS('5_盘点与报损'!$G:$G,'5_盘点与报损'!$B:$B,A111,'5_盘点与报损'!$C:$C,"报损"))</x:f>
      </x:c>
      <x:c r="I111" s="32"/>
      <x:c r="J111" s="32" t="n">
        <x:f>IF(I111&lt;&gt;"",I111,N(E111)+N(F111)-N(G111)-N(H111))</x:f>
        <x:v>0</x:v>
      </x:c>
      <x:c r="K111" s="32"/>
      <x:c r="L111" s="32"/>
      <x:c r="M111" s="32"/>
      <x:c r="N111" s="32" t="n">
        <x:f>N(K111)+N(L111)*N(M111)</x:f>
        <x:v>0</x:v>
      </x:c>
      <x:c r="O111" s="32" t="str">
        <x:f>IF(J111="","",MAX(0,N111-J111))</x:f>
      </x:c>
      <x:c r="P111" s="33"/>
      <x:c r="Q111" s="33" t="str">
        <x:f>IF(J111="","",J111*N(P111))</x:f>
      </x:c>
      <x:c r="R111" s="34" t="str">
        <x:f>IFERROR(J111/L111,"")</x:f>
      </x:c>
      <x:c r="S111" s="17" t="str">
        <x:f>IF(A111="","",IF(J111&lt;=0,"缺货",IF(J111&lt;=K111,"低于安全库存",IF(J111&lt;=N111,"建议补货","正常"))))</x:f>
      </x:c>
      <x:c r="T111" s="17" t="str"/>
    </x:row>
    <x:row r="112">
      <x:c r="A112" s="17" t="str"/>
      <x:c r="B112" s="17" t="str"/>
      <x:c r="C112" s="17" t="str"/>
      <x:c r="D112" s="17" t="str"/>
      <x:c r="E112" s="32"/>
      <x:c r="F112" s="32" t="str">
        <x:f>IF(A112="","",SUMIFS('4_进货记录'!$E:$E,'4_进货记录'!$C:$C,A112,'4_进货记录'!$I:$I,"已入库"))</x:f>
      </x:c>
      <x:c r="G112" s="32"/>
      <x:c r="H112" s="32" t="str">
        <x:f>IF(A112="","",SUMIFS('5_盘点与报损'!$G:$G,'5_盘点与报损'!$B:$B,A112,'5_盘点与报损'!$C:$C,"报损"))</x:f>
      </x:c>
      <x:c r="I112" s="32"/>
      <x:c r="J112" s="32" t="n">
        <x:f>IF(I112&lt;&gt;"",I112,N(E112)+N(F112)-N(G112)-N(H112))</x:f>
        <x:v>0</x:v>
      </x:c>
      <x:c r="K112" s="32"/>
      <x:c r="L112" s="32"/>
      <x:c r="M112" s="32"/>
      <x:c r="N112" s="32" t="n">
        <x:f>N(K112)+N(L112)*N(M112)</x:f>
        <x:v>0</x:v>
      </x:c>
      <x:c r="O112" s="32" t="str">
        <x:f>IF(J112="","",MAX(0,N112-J112))</x:f>
      </x:c>
      <x:c r="P112" s="33"/>
      <x:c r="Q112" s="33" t="str">
        <x:f>IF(J112="","",J112*N(P112))</x:f>
      </x:c>
      <x:c r="R112" s="34" t="str">
        <x:f>IFERROR(J112/L112,"")</x:f>
      </x:c>
      <x:c r="S112" s="17" t="str">
        <x:f>IF(A112="","",IF(J112&lt;=0,"缺货",IF(J112&lt;=K112,"低于安全库存",IF(J112&lt;=N112,"建议补货","正常"))))</x:f>
      </x:c>
      <x:c r="T112" s="17" t="str"/>
    </x:row>
    <x:row r="113">
      <x:c r="A113" s="17" t="str"/>
      <x:c r="B113" s="17" t="str"/>
      <x:c r="C113" s="17" t="str"/>
      <x:c r="D113" s="17" t="str"/>
      <x:c r="E113" s="32"/>
      <x:c r="F113" s="32" t="str">
        <x:f>IF(A113="","",SUMIFS('4_进货记录'!$E:$E,'4_进货记录'!$C:$C,A113,'4_进货记录'!$I:$I,"已入库"))</x:f>
      </x:c>
      <x:c r="G113" s="32"/>
      <x:c r="H113" s="32" t="str">
        <x:f>IF(A113="","",SUMIFS('5_盘点与报损'!$G:$G,'5_盘点与报损'!$B:$B,A113,'5_盘点与报损'!$C:$C,"报损"))</x:f>
      </x:c>
      <x:c r="I113" s="32"/>
      <x:c r="J113" s="32" t="n">
        <x:f>IF(I113&lt;&gt;"",I113,N(E113)+N(F113)-N(G113)-N(H113))</x:f>
        <x:v>0</x:v>
      </x:c>
      <x:c r="K113" s="32"/>
      <x:c r="L113" s="32"/>
      <x:c r="M113" s="32"/>
      <x:c r="N113" s="32" t="n">
        <x:f>N(K113)+N(L113)*N(M113)</x:f>
        <x:v>0</x:v>
      </x:c>
      <x:c r="O113" s="32" t="str">
        <x:f>IF(J113="","",MAX(0,N113-J113))</x:f>
      </x:c>
      <x:c r="P113" s="33"/>
      <x:c r="Q113" s="33" t="str">
        <x:f>IF(J113="","",J113*N(P113))</x:f>
      </x:c>
      <x:c r="R113" s="34" t="str">
        <x:f>IFERROR(J113/L113,"")</x:f>
      </x:c>
      <x:c r="S113" s="17" t="str">
        <x:f>IF(A113="","",IF(J113&lt;=0,"缺货",IF(J113&lt;=K113,"低于安全库存",IF(J113&lt;=N113,"建议补货","正常"))))</x:f>
      </x:c>
      <x:c r="T113" s="17" t="str"/>
    </x:row>
    <x:row r="114">
      <x:c r="A114" s="17" t="str"/>
      <x:c r="B114" s="17" t="str"/>
      <x:c r="C114" s="17" t="str"/>
      <x:c r="D114" s="17" t="str"/>
      <x:c r="E114" s="32"/>
      <x:c r="F114" s="32" t="str">
        <x:f>IF(A114="","",SUMIFS('4_进货记录'!$E:$E,'4_进货记录'!$C:$C,A114,'4_进货记录'!$I:$I,"已入库"))</x:f>
      </x:c>
      <x:c r="G114" s="32"/>
      <x:c r="H114" s="32" t="str">
        <x:f>IF(A114="","",SUMIFS('5_盘点与报损'!$G:$G,'5_盘点与报损'!$B:$B,A114,'5_盘点与报损'!$C:$C,"报损"))</x:f>
      </x:c>
      <x:c r="I114" s="32"/>
      <x:c r="J114" s="32" t="n">
        <x:f>IF(I114&lt;&gt;"",I114,N(E114)+N(F114)-N(G114)-N(H114))</x:f>
        <x:v>0</x:v>
      </x:c>
      <x:c r="K114" s="32"/>
      <x:c r="L114" s="32"/>
      <x:c r="M114" s="32"/>
      <x:c r="N114" s="32" t="n">
        <x:f>N(K114)+N(L114)*N(M114)</x:f>
        <x:v>0</x:v>
      </x:c>
      <x:c r="O114" s="32" t="str">
        <x:f>IF(J114="","",MAX(0,N114-J114))</x:f>
      </x:c>
      <x:c r="P114" s="33"/>
      <x:c r="Q114" s="33" t="str">
        <x:f>IF(J114="","",J114*N(P114))</x:f>
      </x:c>
      <x:c r="R114" s="34" t="str">
        <x:f>IFERROR(J114/L114,"")</x:f>
      </x:c>
      <x:c r="S114" s="17" t="str">
        <x:f>IF(A114="","",IF(J114&lt;=0,"缺货",IF(J114&lt;=K114,"低于安全库存",IF(J114&lt;=N114,"建议补货","正常"))))</x:f>
      </x:c>
      <x:c r="T114" s="17" t="str"/>
    </x:row>
    <x:row r="115">
      <x:c r="A115" s="17" t="str"/>
      <x:c r="B115" s="17" t="str"/>
      <x:c r="C115" s="17" t="str"/>
      <x:c r="D115" s="17" t="str"/>
      <x:c r="E115" s="32"/>
      <x:c r="F115" s="32" t="str">
        <x:f>IF(A115="","",SUMIFS('4_进货记录'!$E:$E,'4_进货记录'!$C:$C,A115,'4_进货记录'!$I:$I,"已入库"))</x:f>
      </x:c>
      <x:c r="G115" s="32"/>
      <x:c r="H115" s="32" t="str">
        <x:f>IF(A115="","",SUMIFS('5_盘点与报损'!$G:$G,'5_盘点与报损'!$B:$B,A115,'5_盘点与报损'!$C:$C,"报损"))</x:f>
      </x:c>
      <x:c r="I115" s="32"/>
      <x:c r="J115" s="32" t="n">
        <x:f>IF(I115&lt;&gt;"",I115,N(E115)+N(F115)-N(G115)-N(H115))</x:f>
        <x:v>0</x:v>
      </x:c>
      <x:c r="K115" s="32"/>
      <x:c r="L115" s="32"/>
      <x:c r="M115" s="32"/>
      <x:c r="N115" s="32" t="n">
        <x:f>N(K115)+N(L115)*N(M115)</x:f>
        <x:v>0</x:v>
      </x:c>
      <x:c r="O115" s="32" t="str">
        <x:f>IF(J115="","",MAX(0,N115-J115))</x:f>
      </x:c>
      <x:c r="P115" s="33"/>
      <x:c r="Q115" s="33" t="str">
        <x:f>IF(J115="","",J115*N(P115))</x:f>
      </x:c>
      <x:c r="R115" s="34" t="str">
        <x:f>IFERROR(J115/L115,"")</x:f>
      </x:c>
      <x:c r="S115" s="17" t="str">
        <x:f>IF(A115="","",IF(J115&lt;=0,"缺货",IF(J115&lt;=K115,"低于安全库存",IF(J115&lt;=N115,"建议补货","正常"))))</x:f>
      </x:c>
      <x:c r="T115" s="17" t="str"/>
    </x:row>
    <x:row r="116">
      <x:c r="A116" s="17" t="str"/>
      <x:c r="B116" s="17" t="str"/>
      <x:c r="C116" s="17" t="str"/>
      <x:c r="D116" s="17" t="str"/>
      <x:c r="E116" s="32"/>
      <x:c r="F116" s="32" t="str">
        <x:f>IF(A116="","",SUMIFS('4_进货记录'!$E:$E,'4_进货记录'!$C:$C,A116,'4_进货记录'!$I:$I,"已入库"))</x:f>
      </x:c>
      <x:c r="G116" s="32"/>
      <x:c r="H116" s="32" t="str">
        <x:f>IF(A116="","",SUMIFS('5_盘点与报损'!$G:$G,'5_盘点与报损'!$B:$B,A116,'5_盘点与报损'!$C:$C,"报损"))</x:f>
      </x:c>
      <x:c r="I116" s="32"/>
      <x:c r="J116" s="32" t="n">
        <x:f>IF(I116&lt;&gt;"",I116,N(E116)+N(F116)-N(G116)-N(H116))</x:f>
        <x:v>0</x:v>
      </x:c>
      <x:c r="K116" s="32"/>
      <x:c r="L116" s="32"/>
      <x:c r="M116" s="32"/>
      <x:c r="N116" s="32" t="n">
        <x:f>N(K116)+N(L116)*N(M116)</x:f>
        <x:v>0</x:v>
      </x:c>
      <x:c r="O116" s="32" t="str">
        <x:f>IF(J116="","",MAX(0,N116-J116))</x:f>
      </x:c>
      <x:c r="P116" s="33"/>
      <x:c r="Q116" s="33" t="str">
        <x:f>IF(J116="","",J116*N(P116))</x:f>
      </x:c>
      <x:c r="R116" s="34" t="str">
        <x:f>IFERROR(J116/L116,"")</x:f>
      </x:c>
      <x:c r="S116" s="17" t="str">
        <x:f>IF(A116="","",IF(J116&lt;=0,"缺货",IF(J116&lt;=K116,"低于安全库存",IF(J116&lt;=N116,"建议补货","正常"))))</x:f>
      </x:c>
      <x:c r="T116" s="17" t="str"/>
    </x:row>
    <x:row r="117">
      <x:c r="A117" s="17" t="str"/>
      <x:c r="B117" s="17" t="str"/>
      <x:c r="C117" s="17" t="str"/>
      <x:c r="D117" s="17" t="str"/>
      <x:c r="E117" s="32"/>
      <x:c r="F117" s="32" t="str">
        <x:f>IF(A117="","",SUMIFS('4_进货记录'!$E:$E,'4_进货记录'!$C:$C,A117,'4_进货记录'!$I:$I,"已入库"))</x:f>
      </x:c>
      <x:c r="G117" s="32"/>
      <x:c r="H117" s="32" t="str">
        <x:f>IF(A117="","",SUMIFS('5_盘点与报损'!$G:$G,'5_盘点与报损'!$B:$B,A117,'5_盘点与报损'!$C:$C,"报损"))</x:f>
      </x:c>
      <x:c r="I117" s="32"/>
      <x:c r="J117" s="32" t="n">
        <x:f>IF(I117&lt;&gt;"",I117,N(E117)+N(F117)-N(G117)-N(H117))</x:f>
        <x:v>0</x:v>
      </x:c>
      <x:c r="K117" s="32"/>
      <x:c r="L117" s="32"/>
      <x:c r="M117" s="32"/>
      <x:c r="N117" s="32" t="n">
        <x:f>N(K117)+N(L117)*N(M117)</x:f>
        <x:v>0</x:v>
      </x:c>
      <x:c r="O117" s="32" t="str">
        <x:f>IF(J117="","",MAX(0,N117-J117))</x:f>
      </x:c>
      <x:c r="P117" s="33"/>
      <x:c r="Q117" s="33" t="str">
        <x:f>IF(J117="","",J117*N(P117))</x:f>
      </x:c>
      <x:c r="R117" s="34" t="str">
        <x:f>IFERROR(J117/L117,"")</x:f>
      </x:c>
      <x:c r="S117" s="17" t="str">
        <x:f>IF(A117="","",IF(J117&lt;=0,"缺货",IF(J117&lt;=K117,"低于安全库存",IF(J117&lt;=N117,"建议补货","正常"))))</x:f>
      </x:c>
      <x:c r="T117" s="17" t="str"/>
    </x:row>
    <x:row r="118">
      <x:c r="A118" s="17" t="str"/>
      <x:c r="B118" s="17" t="str"/>
      <x:c r="C118" s="17" t="str"/>
      <x:c r="D118" s="17" t="str"/>
      <x:c r="E118" s="32"/>
      <x:c r="F118" s="32" t="str">
        <x:f>IF(A118="","",SUMIFS('4_进货记录'!$E:$E,'4_进货记录'!$C:$C,A118,'4_进货记录'!$I:$I,"已入库"))</x:f>
      </x:c>
      <x:c r="G118" s="32"/>
      <x:c r="H118" s="32" t="str">
        <x:f>IF(A118="","",SUMIFS('5_盘点与报损'!$G:$G,'5_盘点与报损'!$B:$B,A118,'5_盘点与报损'!$C:$C,"报损"))</x:f>
      </x:c>
      <x:c r="I118" s="32"/>
      <x:c r="J118" s="32" t="n">
        <x:f>IF(I118&lt;&gt;"",I118,N(E118)+N(F118)-N(G118)-N(H118))</x:f>
        <x:v>0</x:v>
      </x:c>
      <x:c r="K118" s="32"/>
      <x:c r="L118" s="32"/>
      <x:c r="M118" s="32"/>
      <x:c r="N118" s="32" t="n">
        <x:f>N(K118)+N(L118)*N(M118)</x:f>
        <x:v>0</x:v>
      </x:c>
      <x:c r="O118" s="32" t="str">
        <x:f>IF(J118="","",MAX(0,N118-J118))</x:f>
      </x:c>
      <x:c r="P118" s="33"/>
      <x:c r="Q118" s="33" t="str">
        <x:f>IF(J118="","",J118*N(P118))</x:f>
      </x:c>
      <x:c r="R118" s="34" t="str">
        <x:f>IFERROR(J118/L118,"")</x:f>
      </x:c>
      <x:c r="S118" s="17" t="str">
        <x:f>IF(A118="","",IF(J118&lt;=0,"缺货",IF(J118&lt;=K118,"低于安全库存",IF(J118&lt;=N118,"建议补货","正常"))))</x:f>
      </x:c>
      <x:c r="T118" s="17" t="str"/>
    </x:row>
    <x:row r="119">
      <x:c r="A119" s="17" t="str"/>
      <x:c r="B119" s="17" t="str"/>
      <x:c r="C119" s="17" t="str"/>
      <x:c r="D119" s="17" t="str"/>
      <x:c r="E119" s="32"/>
      <x:c r="F119" s="32" t="str">
        <x:f>IF(A119="","",SUMIFS('4_进货记录'!$E:$E,'4_进货记录'!$C:$C,A119,'4_进货记录'!$I:$I,"已入库"))</x:f>
      </x:c>
      <x:c r="G119" s="32"/>
      <x:c r="H119" s="32" t="str">
        <x:f>IF(A119="","",SUMIFS('5_盘点与报损'!$G:$G,'5_盘点与报损'!$B:$B,A119,'5_盘点与报损'!$C:$C,"报损"))</x:f>
      </x:c>
      <x:c r="I119" s="32"/>
      <x:c r="J119" s="32" t="n">
        <x:f>IF(I119&lt;&gt;"",I119,N(E119)+N(F119)-N(G119)-N(H119))</x:f>
        <x:v>0</x:v>
      </x:c>
      <x:c r="K119" s="32"/>
      <x:c r="L119" s="32"/>
      <x:c r="M119" s="32"/>
      <x:c r="N119" s="32" t="n">
        <x:f>N(K119)+N(L119)*N(M119)</x:f>
        <x:v>0</x:v>
      </x:c>
      <x:c r="O119" s="32" t="str">
        <x:f>IF(J119="","",MAX(0,N119-J119))</x:f>
      </x:c>
      <x:c r="P119" s="33"/>
      <x:c r="Q119" s="33" t="str">
        <x:f>IF(J119="","",J119*N(P119))</x:f>
      </x:c>
      <x:c r="R119" s="34" t="str">
        <x:f>IFERROR(J119/L119,"")</x:f>
      </x:c>
      <x:c r="S119" s="17" t="str">
        <x:f>IF(A119="","",IF(J119&lt;=0,"缺货",IF(J119&lt;=K119,"低于安全库存",IF(J119&lt;=N119,"建议补货","正常"))))</x:f>
      </x:c>
      <x:c r="T119" s="17" t="str"/>
    </x:row>
    <x:row r="120">
      <x:c r="A120" s="17" t="str"/>
      <x:c r="B120" s="17" t="str"/>
      <x:c r="C120" s="17" t="str"/>
      <x:c r="D120" s="17" t="str"/>
      <x:c r="E120" s="32"/>
      <x:c r="F120" s="32" t="str">
        <x:f>IF(A120="","",SUMIFS('4_进货记录'!$E:$E,'4_进货记录'!$C:$C,A120,'4_进货记录'!$I:$I,"已入库"))</x:f>
      </x:c>
      <x:c r="G120" s="32"/>
      <x:c r="H120" s="32" t="str">
        <x:f>IF(A120="","",SUMIFS('5_盘点与报损'!$G:$G,'5_盘点与报损'!$B:$B,A120,'5_盘点与报损'!$C:$C,"报损"))</x:f>
      </x:c>
      <x:c r="I120" s="32"/>
      <x:c r="J120" s="32" t="n">
        <x:f>IF(I120&lt;&gt;"",I120,N(E120)+N(F120)-N(G120)-N(H120))</x:f>
        <x:v>0</x:v>
      </x:c>
      <x:c r="K120" s="32"/>
      <x:c r="L120" s="32"/>
      <x:c r="M120" s="32"/>
      <x:c r="N120" s="32" t="n">
        <x:f>N(K120)+N(L120)*N(M120)</x:f>
        <x:v>0</x:v>
      </x:c>
      <x:c r="O120" s="32" t="str">
        <x:f>IF(J120="","",MAX(0,N120-J120))</x:f>
      </x:c>
      <x:c r="P120" s="33"/>
      <x:c r="Q120" s="33" t="str">
        <x:f>IF(J120="","",J120*N(P120))</x:f>
      </x:c>
      <x:c r="R120" s="34" t="str">
        <x:f>IFERROR(J120/L120,"")</x:f>
      </x:c>
      <x:c r="S120" s="17" t="str">
        <x:f>IF(A120="","",IF(J120&lt;=0,"缺货",IF(J120&lt;=K120,"低于安全库存",IF(J120&lt;=N120,"建议补货","正常"))))</x:f>
      </x:c>
      <x:c r="T120" s="17" t="str"/>
    </x:row>
    <x:row r="121">
      <x:c r="A121" s="17" t="str"/>
      <x:c r="B121" s="17" t="str"/>
      <x:c r="C121" s="17" t="str"/>
      <x:c r="D121" s="17" t="str"/>
      <x:c r="E121" s="32"/>
      <x:c r="F121" s="32" t="str">
        <x:f>IF(A121="","",SUMIFS('4_进货记录'!$E:$E,'4_进货记录'!$C:$C,A121,'4_进货记录'!$I:$I,"已入库"))</x:f>
      </x:c>
      <x:c r="G121" s="32"/>
      <x:c r="H121" s="32" t="str">
        <x:f>IF(A121="","",SUMIFS('5_盘点与报损'!$G:$G,'5_盘点与报损'!$B:$B,A121,'5_盘点与报损'!$C:$C,"报损"))</x:f>
      </x:c>
      <x:c r="I121" s="32"/>
      <x:c r="J121" s="32" t="n">
        <x:f>IF(I121&lt;&gt;"",I121,N(E121)+N(F121)-N(G121)-N(H121))</x:f>
        <x:v>0</x:v>
      </x:c>
      <x:c r="K121" s="32"/>
      <x:c r="L121" s="32"/>
      <x:c r="M121" s="32"/>
      <x:c r="N121" s="32" t="n">
        <x:f>N(K121)+N(L121)*N(M121)</x:f>
        <x:v>0</x:v>
      </x:c>
      <x:c r="O121" s="32" t="str">
        <x:f>IF(J121="","",MAX(0,N121-J121))</x:f>
      </x:c>
      <x:c r="P121" s="33"/>
      <x:c r="Q121" s="33" t="str">
        <x:f>IF(J121="","",J121*N(P121))</x:f>
      </x:c>
      <x:c r="R121" s="34" t="str">
        <x:f>IFERROR(J121/L121,"")</x:f>
      </x:c>
      <x:c r="S121" s="17" t="str">
        <x:f>IF(A121="","",IF(J121&lt;=0,"缺货",IF(J121&lt;=K121,"低于安全库存",IF(J121&lt;=N121,"建议补货","正常"))))</x:f>
      </x:c>
      <x:c r="T121" s="17" t="str"/>
    </x:row>
  </x:sheetData>
  <x:conditionalFormatting sqref="S2:S121">
    <x:cfRule type="expression" dxfId="3" priority="1">
      <x:formula>S2="缺货"</x:formula>
    </x:cfRule>
    <x:cfRule type="expression" dxfId="4" priority="2">
      <x:formula>S2="低于安全库存"</x:formula>
    </x:cfRule>
    <x:cfRule type="expression" dxfId="5" priority="3">
      <x:formula>S2="建议补货"</x:formula>
    </x:cfRule>
  </x:conditionalFormatting>
  <x:dataValidations count="1">
    <x:dataValidation type="list" sqref="B2:B121">
      <x:formula1>6_字典与参考!$B$25:$B$29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e0efe6dc5848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0" hidden="0" customWidth="1"/>
    <x:col min="5" max="5" width="10" hidden="0" customWidth="1"/>
    <x:col min="6" max="6" width="8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28" customHeight="1">
      <x:c r="A1" s="10" t="str">
        <x:v>日期</x:v>
      </x:c>
      <x:c r="B1" s="10" t="str">
        <x:v>供应商</x:v>
      </x:c>
      <x:c r="C1" s="10" t="str">
        <x:v>商品/SKU</x:v>
      </x:c>
      <x:c r="D1" s="10" t="str">
        <x:v>分类</x:v>
      </x:c>
      <x:c r="E1" s="10" t="str">
        <x:v>数量</x:v>
      </x:c>
      <x:c r="F1" s="10" t="str">
        <x:v>单位</x:v>
      </x:c>
      <x:c r="G1" s="10" t="str">
        <x:v>单价</x:v>
      </x:c>
      <x:c r="H1" s="10" t="str">
        <x:v>总额</x:v>
      </x:c>
      <x:c r="I1" s="10" t="str">
        <x:v>是否已入库</x:v>
      </x:c>
      <x:c r="J1" s="10" t="str">
        <x:v>支付状态</x:v>
      </x:c>
      <x:c r="K1" s="10" t="str">
        <x:v>凭证状态</x:v>
      </x:c>
      <x:c r="L1" s="10" t="str">
        <x:v>备注</x:v>
      </x:c>
    </x:row>
    <x:row r="2">
      <x:c r="A2" s="16"/>
      <x:c r="B2" s="17" t="str"/>
      <x:c r="C2" s="17" t="str"/>
      <x:c r="D2" s="17" t="str"/>
      <x:c r="E2" s="17"/>
      <x:c r="F2" s="17" t="str"/>
      <x:c r="G2" s="33"/>
      <x:c r="H2" s="33" t="str">
        <x:f>IF(OR(E2="",G2=""),"",E2*G2)</x:f>
      </x:c>
      <x:c r="I2" s="17" t="str">
        <x:v>待确认</x:v>
      </x:c>
      <x:c r="J2" s="17" t="str">
        <x:v>待确认</x:v>
      </x:c>
      <x:c r="K2" s="17" t="str">
        <x:v>待补</x:v>
      </x:c>
      <x:c r="L2" s="17" t="str"/>
    </x:row>
    <x:row r="3">
      <x:c r="A3" s="16"/>
      <x:c r="B3" s="17" t="str"/>
      <x:c r="C3" s="17" t="str"/>
      <x:c r="D3" s="17" t="str"/>
      <x:c r="E3" s="17"/>
      <x:c r="F3" s="17" t="str"/>
      <x:c r="G3" s="33"/>
      <x:c r="H3" s="33" t="str">
        <x:f>IF(OR(E3="",G3=""),"",E3*G3)</x:f>
      </x:c>
      <x:c r="I3" s="17" t="str">
        <x:v>待确认</x:v>
      </x:c>
      <x:c r="J3" s="17" t="str">
        <x:v>待确认</x:v>
      </x:c>
      <x:c r="K3" s="17" t="str">
        <x:v>待补</x:v>
      </x:c>
      <x:c r="L3" s="17" t="str"/>
    </x:row>
    <x:row r="4">
      <x:c r="A4" s="16"/>
      <x:c r="B4" s="17" t="str"/>
      <x:c r="C4" s="17" t="str"/>
      <x:c r="D4" s="17" t="str"/>
      <x:c r="E4" s="17"/>
      <x:c r="F4" s="17" t="str"/>
      <x:c r="G4" s="33"/>
      <x:c r="H4" s="33" t="str">
        <x:f>IF(OR(E4="",G4=""),"",E4*G4)</x:f>
      </x:c>
      <x:c r="I4" s="17" t="str">
        <x:v>待确认</x:v>
      </x:c>
      <x:c r="J4" s="17" t="str">
        <x:v>待确认</x:v>
      </x:c>
      <x:c r="K4" s="17" t="str">
        <x:v>待补</x:v>
      </x:c>
      <x:c r="L4" s="17" t="str"/>
    </x:row>
    <x:row r="5">
      <x:c r="A5" s="16"/>
      <x:c r="B5" s="17" t="str"/>
      <x:c r="C5" s="17" t="str"/>
      <x:c r="D5" s="17" t="str"/>
      <x:c r="E5" s="17"/>
      <x:c r="F5" s="17" t="str"/>
      <x:c r="G5" s="33"/>
      <x:c r="H5" s="33" t="str">
        <x:f>IF(OR(E5="",G5=""),"",E5*G5)</x:f>
      </x:c>
      <x:c r="I5" s="17" t="str">
        <x:v>待确认</x:v>
      </x:c>
      <x:c r="J5" s="17" t="str">
        <x:v>待确认</x:v>
      </x:c>
      <x:c r="K5" s="17" t="str">
        <x:v>待补</x:v>
      </x:c>
      <x:c r="L5" s="17" t="str"/>
    </x:row>
    <x:row r="6">
      <x:c r="A6" s="16"/>
      <x:c r="B6" s="17" t="str"/>
      <x:c r="C6" s="17" t="str"/>
      <x:c r="D6" s="17" t="str"/>
      <x:c r="E6" s="17"/>
      <x:c r="F6" s="17" t="str"/>
      <x:c r="G6" s="33"/>
      <x:c r="H6" s="33" t="str">
        <x:f>IF(OR(E6="",G6=""),"",E6*G6)</x:f>
      </x:c>
      <x:c r="I6" s="17" t="str">
        <x:v>待确认</x:v>
      </x:c>
      <x:c r="J6" s="17" t="str">
        <x:v>待确认</x:v>
      </x:c>
      <x:c r="K6" s="17" t="str">
        <x:v>待补</x:v>
      </x:c>
      <x:c r="L6" s="17" t="str"/>
    </x:row>
    <x:row r="7">
      <x:c r="A7" s="16"/>
      <x:c r="B7" s="17" t="str"/>
      <x:c r="C7" s="17" t="str"/>
      <x:c r="D7" s="17" t="str"/>
      <x:c r="E7" s="17"/>
      <x:c r="F7" s="17" t="str"/>
      <x:c r="G7" s="33"/>
      <x:c r="H7" s="33" t="str">
        <x:f>IF(OR(E7="",G7=""),"",E7*G7)</x:f>
      </x:c>
      <x:c r="I7" s="17" t="str">
        <x:v>待确认</x:v>
      </x:c>
      <x:c r="J7" s="17" t="str">
        <x:v>待确认</x:v>
      </x:c>
      <x:c r="K7" s="17" t="str">
        <x:v>待补</x:v>
      </x:c>
      <x:c r="L7" s="17" t="str"/>
    </x:row>
    <x:row r="8">
      <x:c r="A8" s="16"/>
      <x:c r="B8" s="17" t="str"/>
      <x:c r="C8" s="17" t="str"/>
      <x:c r="D8" s="17" t="str"/>
      <x:c r="E8" s="17"/>
      <x:c r="F8" s="17" t="str"/>
      <x:c r="G8" s="33"/>
      <x:c r="H8" s="33" t="str">
        <x:f>IF(OR(E8="",G8=""),"",E8*G8)</x:f>
      </x:c>
      <x:c r="I8" s="17" t="str">
        <x:v>待确认</x:v>
      </x:c>
      <x:c r="J8" s="17" t="str">
        <x:v>待确认</x:v>
      </x:c>
      <x:c r="K8" s="17" t="str">
        <x:v>待补</x:v>
      </x:c>
      <x:c r="L8" s="17" t="str"/>
    </x:row>
    <x:row r="9">
      <x:c r="A9" s="16"/>
      <x:c r="B9" s="17" t="str"/>
      <x:c r="C9" s="17" t="str"/>
      <x:c r="D9" s="17" t="str"/>
      <x:c r="E9" s="17"/>
      <x:c r="F9" s="17" t="str"/>
      <x:c r="G9" s="33"/>
      <x:c r="H9" s="33" t="str">
        <x:f>IF(OR(E9="",G9=""),"",E9*G9)</x:f>
      </x:c>
      <x:c r="I9" s="17" t="str">
        <x:v>待确认</x:v>
      </x:c>
      <x:c r="J9" s="17" t="str">
        <x:v>待确认</x:v>
      </x:c>
      <x:c r="K9" s="17" t="str">
        <x:v>待补</x:v>
      </x:c>
      <x:c r="L9" s="17" t="str"/>
    </x:row>
    <x:row r="10">
      <x:c r="A10" s="16"/>
      <x:c r="B10" s="17" t="str"/>
      <x:c r="C10" s="17" t="str"/>
      <x:c r="D10" s="17" t="str"/>
      <x:c r="E10" s="17"/>
      <x:c r="F10" s="17" t="str"/>
      <x:c r="G10" s="33"/>
      <x:c r="H10" s="33" t="str">
        <x:f>IF(OR(E10="",G10=""),"",E10*G10)</x:f>
      </x:c>
      <x:c r="I10" s="17" t="str">
        <x:v>待确认</x:v>
      </x:c>
      <x:c r="J10" s="17" t="str">
        <x:v>待确认</x:v>
      </x:c>
      <x:c r="K10" s="17" t="str">
        <x:v>待补</x:v>
      </x:c>
      <x:c r="L10" s="17" t="str"/>
    </x:row>
    <x:row r="11">
      <x:c r="A11" s="16"/>
      <x:c r="B11" s="17" t="str"/>
      <x:c r="C11" s="17" t="str"/>
      <x:c r="D11" s="17" t="str"/>
      <x:c r="E11" s="17"/>
      <x:c r="F11" s="17" t="str"/>
      <x:c r="G11" s="33"/>
      <x:c r="H11" s="33" t="str">
        <x:f>IF(OR(E11="",G11=""),"",E11*G11)</x:f>
      </x:c>
      <x:c r="I11" s="17" t="str">
        <x:v>待确认</x:v>
      </x:c>
      <x:c r="J11" s="17" t="str">
        <x:v>待确认</x:v>
      </x:c>
      <x:c r="K11" s="17" t="str">
        <x:v>待补</x:v>
      </x:c>
      <x:c r="L11" s="17" t="str"/>
    </x:row>
    <x:row r="12">
      <x:c r="A12" s="16"/>
      <x:c r="B12" s="17" t="str"/>
      <x:c r="C12" s="17" t="str"/>
      <x:c r="D12" s="17" t="str"/>
      <x:c r="E12" s="17"/>
      <x:c r="F12" s="17" t="str"/>
      <x:c r="G12" s="33"/>
      <x:c r="H12" s="33" t="str">
        <x:f>IF(OR(E12="",G12=""),"",E12*G12)</x:f>
      </x:c>
      <x:c r="I12" s="17" t="str">
        <x:v>待确认</x:v>
      </x:c>
      <x:c r="J12" s="17" t="str">
        <x:v>待确认</x:v>
      </x:c>
      <x:c r="K12" s="17" t="str">
        <x:v>待补</x:v>
      </x:c>
      <x:c r="L12" s="17" t="str"/>
    </x:row>
    <x:row r="13">
      <x:c r="A13" s="16"/>
      <x:c r="B13" s="17" t="str"/>
      <x:c r="C13" s="17" t="str"/>
      <x:c r="D13" s="17" t="str"/>
      <x:c r="E13" s="17"/>
      <x:c r="F13" s="17" t="str"/>
      <x:c r="G13" s="33"/>
      <x:c r="H13" s="33" t="str">
        <x:f>IF(OR(E13="",G13=""),"",E13*G13)</x:f>
      </x:c>
      <x:c r="I13" s="17" t="str">
        <x:v>待确认</x:v>
      </x:c>
      <x:c r="J13" s="17" t="str">
        <x:v>待确认</x:v>
      </x:c>
      <x:c r="K13" s="17" t="str">
        <x:v>待补</x:v>
      </x:c>
      <x:c r="L13" s="17" t="str"/>
    </x:row>
    <x:row r="14">
      <x:c r="A14" s="16"/>
      <x:c r="B14" s="17" t="str"/>
      <x:c r="C14" s="17" t="str"/>
      <x:c r="D14" s="17" t="str"/>
      <x:c r="E14" s="17"/>
      <x:c r="F14" s="17" t="str"/>
      <x:c r="G14" s="33"/>
      <x:c r="H14" s="33" t="str">
        <x:f>IF(OR(E14="",G14=""),"",E14*G14)</x:f>
      </x:c>
      <x:c r="I14" s="17" t="str">
        <x:v>待确认</x:v>
      </x:c>
      <x:c r="J14" s="17" t="str">
        <x:v>待确认</x:v>
      </x:c>
      <x:c r="K14" s="17" t="str">
        <x:v>待补</x:v>
      </x:c>
      <x:c r="L14" s="17" t="str"/>
    </x:row>
    <x:row r="15">
      <x:c r="A15" s="16"/>
      <x:c r="B15" s="17" t="str"/>
      <x:c r="C15" s="17" t="str"/>
      <x:c r="D15" s="17" t="str"/>
      <x:c r="E15" s="17"/>
      <x:c r="F15" s="17" t="str"/>
      <x:c r="G15" s="33"/>
      <x:c r="H15" s="33" t="str">
        <x:f>IF(OR(E15="",G15=""),"",E15*G15)</x:f>
      </x:c>
      <x:c r="I15" s="17" t="str">
        <x:v>待确认</x:v>
      </x:c>
      <x:c r="J15" s="17" t="str">
        <x:v>待确认</x:v>
      </x:c>
      <x:c r="K15" s="17" t="str">
        <x:v>待补</x:v>
      </x:c>
      <x:c r="L15" s="17" t="str"/>
    </x:row>
    <x:row r="16">
      <x:c r="A16" s="16"/>
      <x:c r="B16" s="17" t="str"/>
      <x:c r="C16" s="17" t="str"/>
      <x:c r="D16" s="17" t="str"/>
      <x:c r="E16" s="17"/>
      <x:c r="F16" s="17" t="str"/>
      <x:c r="G16" s="33"/>
      <x:c r="H16" s="33" t="str">
        <x:f>IF(OR(E16="",G16=""),"",E16*G16)</x:f>
      </x:c>
      <x:c r="I16" s="17" t="str">
        <x:v>待确认</x:v>
      </x:c>
      <x:c r="J16" s="17" t="str">
        <x:v>待确认</x:v>
      </x:c>
      <x:c r="K16" s="17" t="str">
        <x:v>待补</x:v>
      </x:c>
      <x:c r="L16" s="17" t="str"/>
    </x:row>
    <x:row r="17">
      <x:c r="A17" s="16"/>
      <x:c r="B17" s="17" t="str"/>
      <x:c r="C17" s="17" t="str"/>
      <x:c r="D17" s="17" t="str"/>
      <x:c r="E17" s="17"/>
      <x:c r="F17" s="17" t="str"/>
      <x:c r="G17" s="33"/>
      <x:c r="H17" s="33" t="str">
        <x:f>IF(OR(E17="",G17=""),"",E17*G17)</x:f>
      </x:c>
      <x:c r="I17" s="17" t="str">
        <x:v>待确认</x:v>
      </x:c>
      <x:c r="J17" s="17" t="str">
        <x:v>待确认</x:v>
      </x:c>
      <x:c r="K17" s="17" t="str">
        <x:v>待补</x:v>
      </x:c>
      <x:c r="L17" s="17" t="str"/>
    </x:row>
    <x:row r="18">
      <x:c r="A18" s="16"/>
      <x:c r="B18" s="17" t="str"/>
      <x:c r="C18" s="17" t="str"/>
      <x:c r="D18" s="17" t="str"/>
      <x:c r="E18" s="17"/>
      <x:c r="F18" s="17" t="str"/>
      <x:c r="G18" s="33"/>
      <x:c r="H18" s="33" t="str">
        <x:f>IF(OR(E18="",G18=""),"",E18*G18)</x:f>
      </x:c>
      <x:c r="I18" s="17" t="str">
        <x:v>待确认</x:v>
      </x:c>
      <x:c r="J18" s="17" t="str">
        <x:v>待确认</x:v>
      </x:c>
      <x:c r="K18" s="17" t="str">
        <x:v>待补</x:v>
      </x:c>
      <x:c r="L18" s="17" t="str"/>
    </x:row>
    <x:row r="19">
      <x:c r="A19" s="16"/>
      <x:c r="B19" s="17" t="str"/>
      <x:c r="C19" s="17" t="str"/>
      <x:c r="D19" s="17" t="str"/>
      <x:c r="E19" s="17"/>
      <x:c r="F19" s="17" t="str"/>
      <x:c r="G19" s="33"/>
      <x:c r="H19" s="33" t="str">
        <x:f>IF(OR(E19="",G19=""),"",E19*G19)</x:f>
      </x:c>
      <x:c r="I19" s="17" t="str">
        <x:v>待确认</x:v>
      </x:c>
      <x:c r="J19" s="17" t="str">
        <x:v>待确认</x:v>
      </x:c>
      <x:c r="K19" s="17" t="str">
        <x:v>待补</x:v>
      </x:c>
      <x:c r="L19" s="17" t="str"/>
    </x:row>
    <x:row r="20">
      <x:c r="A20" s="16"/>
      <x:c r="B20" s="17" t="str"/>
      <x:c r="C20" s="17" t="str"/>
      <x:c r="D20" s="17" t="str"/>
      <x:c r="E20" s="17"/>
      <x:c r="F20" s="17" t="str"/>
      <x:c r="G20" s="33"/>
      <x:c r="H20" s="33" t="str">
        <x:f>IF(OR(E20="",G20=""),"",E20*G20)</x:f>
      </x:c>
      <x:c r="I20" s="17" t="str">
        <x:v>待确认</x:v>
      </x:c>
      <x:c r="J20" s="17" t="str">
        <x:v>待确认</x:v>
      </x:c>
      <x:c r="K20" s="17" t="str">
        <x:v>待补</x:v>
      </x:c>
      <x:c r="L20" s="17" t="str"/>
    </x:row>
    <x:row r="21">
      <x:c r="A21" s="16"/>
      <x:c r="B21" s="17" t="str"/>
      <x:c r="C21" s="17" t="str"/>
      <x:c r="D21" s="17" t="str"/>
      <x:c r="E21" s="17"/>
      <x:c r="F21" s="17" t="str"/>
      <x:c r="G21" s="33"/>
      <x:c r="H21" s="33" t="str">
        <x:f>IF(OR(E21="",G21=""),"",E21*G21)</x:f>
      </x:c>
      <x:c r="I21" s="17" t="str">
        <x:v>待确认</x:v>
      </x:c>
      <x:c r="J21" s="17" t="str">
        <x:v>待确认</x:v>
      </x:c>
      <x:c r="K21" s="17" t="str">
        <x:v>待补</x:v>
      </x:c>
      <x:c r="L21" s="17" t="str"/>
    </x:row>
    <x:row r="22">
      <x:c r="A22" s="16"/>
      <x:c r="B22" s="17" t="str"/>
      <x:c r="C22" s="17" t="str"/>
      <x:c r="D22" s="17" t="str"/>
      <x:c r="E22" s="17"/>
      <x:c r="F22" s="17" t="str"/>
      <x:c r="G22" s="33"/>
      <x:c r="H22" s="33" t="str">
        <x:f>IF(OR(E22="",G22=""),"",E22*G22)</x:f>
      </x:c>
      <x:c r="I22" s="17" t="str">
        <x:v>待确认</x:v>
      </x:c>
      <x:c r="J22" s="17" t="str">
        <x:v>待确认</x:v>
      </x:c>
      <x:c r="K22" s="17" t="str">
        <x:v>待补</x:v>
      </x:c>
      <x:c r="L22" s="17" t="str"/>
    </x:row>
    <x:row r="23">
      <x:c r="A23" s="16"/>
      <x:c r="B23" s="17" t="str"/>
      <x:c r="C23" s="17" t="str"/>
      <x:c r="D23" s="17" t="str"/>
      <x:c r="E23" s="17"/>
      <x:c r="F23" s="17" t="str"/>
      <x:c r="G23" s="33"/>
      <x:c r="H23" s="33" t="str">
        <x:f>IF(OR(E23="",G23=""),"",E23*G23)</x:f>
      </x:c>
      <x:c r="I23" s="17" t="str">
        <x:v>待确认</x:v>
      </x:c>
      <x:c r="J23" s="17" t="str">
        <x:v>待确认</x:v>
      </x:c>
      <x:c r="K23" s="17" t="str">
        <x:v>待补</x:v>
      </x:c>
      <x:c r="L23" s="17" t="str"/>
    </x:row>
    <x:row r="24">
      <x:c r="A24" s="16"/>
      <x:c r="B24" s="17" t="str"/>
      <x:c r="C24" s="17" t="str"/>
      <x:c r="D24" s="17" t="str"/>
      <x:c r="E24" s="17"/>
      <x:c r="F24" s="17" t="str"/>
      <x:c r="G24" s="33"/>
      <x:c r="H24" s="33" t="str">
        <x:f>IF(OR(E24="",G24=""),"",E24*G24)</x:f>
      </x:c>
      <x:c r="I24" s="17" t="str">
        <x:v>待确认</x:v>
      </x:c>
      <x:c r="J24" s="17" t="str">
        <x:v>待确认</x:v>
      </x:c>
      <x:c r="K24" s="17" t="str">
        <x:v>待补</x:v>
      </x:c>
      <x:c r="L24" s="17" t="str"/>
    </x:row>
    <x:row r="25">
      <x:c r="A25" s="16"/>
      <x:c r="B25" s="17" t="str"/>
      <x:c r="C25" s="17" t="str"/>
      <x:c r="D25" s="17" t="str"/>
      <x:c r="E25" s="17"/>
      <x:c r="F25" s="17" t="str"/>
      <x:c r="G25" s="33"/>
      <x:c r="H25" s="33" t="str">
        <x:f>IF(OR(E25="",G25=""),"",E25*G25)</x:f>
      </x:c>
      <x:c r="I25" s="17" t="str">
        <x:v>待确认</x:v>
      </x:c>
      <x:c r="J25" s="17" t="str">
        <x:v>待确认</x:v>
      </x:c>
      <x:c r="K25" s="17" t="str">
        <x:v>待补</x:v>
      </x:c>
      <x:c r="L25" s="17" t="str"/>
    </x:row>
    <x:row r="26">
      <x:c r="A26" s="16"/>
      <x:c r="B26" s="17" t="str"/>
      <x:c r="C26" s="17" t="str"/>
      <x:c r="D26" s="17" t="str"/>
      <x:c r="E26" s="17"/>
      <x:c r="F26" s="17" t="str"/>
      <x:c r="G26" s="33"/>
      <x:c r="H26" s="33" t="str">
        <x:f>IF(OR(E26="",G26=""),"",E26*G26)</x:f>
      </x:c>
      <x:c r="I26" s="17" t="str">
        <x:v>待确认</x:v>
      </x:c>
      <x:c r="J26" s="17" t="str">
        <x:v>待确认</x:v>
      </x:c>
      <x:c r="K26" s="17" t="str">
        <x:v>待补</x:v>
      </x:c>
      <x:c r="L26" s="17" t="str"/>
    </x:row>
    <x:row r="27">
      <x:c r="A27" s="16"/>
      <x:c r="B27" s="17" t="str"/>
      <x:c r="C27" s="17" t="str"/>
      <x:c r="D27" s="17" t="str"/>
      <x:c r="E27" s="17"/>
      <x:c r="F27" s="17" t="str"/>
      <x:c r="G27" s="33"/>
      <x:c r="H27" s="33" t="str">
        <x:f>IF(OR(E27="",G27=""),"",E27*G27)</x:f>
      </x:c>
      <x:c r="I27" s="17" t="str">
        <x:v>待确认</x:v>
      </x:c>
      <x:c r="J27" s="17" t="str">
        <x:v>待确认</x:v>
      </x:c>
      <x:c r="K27" s="17" t="str">
        <x:v>待补</x:v>
      </x:c>
      <x:c r="L27" s="17" t="str"/>
    </x:row>
    <x:row r="28">
      <x:c r="A28" s="16"/>
      <x:c r="B28" s="17" t="str"/>
      <x:c r="C28" s="17" t="str"/>
      <x:c r="D28" s="17" t="str"/>
      <x:c r="E28" s="17"/>
      <x:c r="F28" s="17" t="str"/>
      <x:c r="G28" s="33"/>
      <x:c r="H28" s="33" t="str">
        <x:f>IF(OR(E28="",G28=""),"",E28*G28)</x:f>
      </x:c>
      <x:c r="I28" s="17" t="str">
        <x:v>待确认</x:v>
      </x:c>
      <x:c r="J28" s="17" t="str">
        <x:v>待确认</x:v>
      </x:c>
      <x:c r="K28" s="17" t="str">
        <x:v>待补</x:v>
      </x:c>
      <x:c r="L28" s="17" t="str"/>
    </x:row>
    <x:row r="29">
      <x:c r="A29" s="16"/>
      <x:c r="B29" s="17" t="str"/>
      <x:c r="C29" s="17" t="str"/>
      <x:c r="D29" s="17" t="str"/>
      <x:c r="E29" s="17"/>
      <x:c r="F29" s="17" t="str"/>
      <x:c r="G29" s="33"/>
      <x:c r="H29" s="33" t="str">
        <x:f>IF(OR(E29="",G29=""),"",E29*G29)</x:f>
      </x:c>
      <x:c r="I29" s="17" t="str">
        <x:v>待确认</x:v>
      </x:c>
      <x:c r="J29" s="17" t="str">
        <x:v>待确认</x:v>
      </x:c>
      <x:c r="K29" s="17" t="str">
        <x:v>待补</x:v>
      </x:c>
      <x:c r="L29" s="17" t="str"/>
    </x:row>
    <x:row r="30">
      <x:c r="A30" s="16"/>
      <x:c r="B30" s="17" t="str"/>
      <x:c r="C30" s="17" t="str"/>
      <x:c r="D30" s="17" t="str"/>
      <x:c r="E30" s="17"/>
      <x:c r="F30" s="17" t="str"/>
      <x:c r="G30" s="33"/>
      <x:c r="H30" s="33" t="str">
        <x:f>IF(OR(E30="",G30=""),"",E30*G30)</x:f>
      </x:c>
      <x:c r="I30" s="17" t="str">
        <x:v>待确认</x:v>
      </x:c>
      <x:c r="J30" s="17" t="str">
        <x:v>待确认</x:v>
      </x:c>
      <x:c r="K30" s="17" t="str">
        <x:v>待补</x:v>
      </x:c>
      <x:c r="L30" s="17" t="str"/>
    </x:row>
    <x:row r="31">
      <x:c r="A31" s="16"/>
      <x:c r="B31" s="17" t="str"/>
      <x:c r="C31" s="17" t="str"/>
      <x:c r="D31" s="17" t="str"/>
      <x:c r="E31" s="17"/>
      <x:c r="F31" s="17" t="str"/>
      <x:c r="G31" s="33"/>
      <x:c r="H31" s="33" t="str">
        <x:f>IF(OR(E31="",G31=""),"",E31*G31)</x:f>
      </x:c>
      <x:c r="I31" s="17" t="str">
        <x:v>待确认</x:v>
      </x:c>
      <x:c r="J31" s="17" t="str">
        <x:v>待确认</x:v>
      </x:c>
      <x:c r="K31" s="17" t="str">
        <x:v>待补</x:v>
      </x:c>
      <x:c r="L31" s="17" t="str"/>
    </x:row>
    <x:row r="32">
      <x:c r="A32" s="16"/>
      <x:c r="B32" s="17" t="str"/>
      <x:c r="C32" s="17" t="str"/>
      <x:c r="D32" s="17" t="str"/>
      <x:c r="E32" s="17"/>
      <x:c r="F32" s="17" t="str"/>
      <x:c r="G32" s="33"/>
      <x:c r="H32" s="33" t="str">
        <x:f>IF(OR(E32="",G32=""),"",E32*G32)</x:f>
      </x:c>
      <x:c r="I32" s="17" t="str">
        <x:v>待确认</x:v>
      </x:c>
      <x:c r="J32" s="17" t="str">
        <x:v>待确认</x:v>
      </x:c>
      <x:c r="K32" s="17" t="str">
        <x:v>待补</x:v>
      </x:c>
      <x:c r="L32" s="17" t="str"/>
    </x:row>
    <x:row r="33">
      <x:c r="A33" s="16"/>
      <x:c r="B33" s="17" t="str"/>
      <x:c r="C33" s="17" t="str"/>
      <x:c r="D33" s="17" t="str"/>
      <x:c r="E33" s="17"/>
      <x:c r="F33" s="17" t="str"/>
      <x:c r="G33" s="33"/>
      <x:c r="H33" s="33" t="str">
        <x:f>IF(OR(E33="",G33=""),"",E33*G33)</x:f>
      </x:c>
      <x:c r="I33" s="17" t="str">
        <x:v>待确认</x:v>
      </x:c>
      <x:c r="J33" s="17" t="str">
        <x:v>待确认</x:v>
      </x:c>
      <x:c r="K33" s="17" t="str">
        <x:v>待补</x:v>
      </x:c>
      <x:c r="L33" s="17" t="str"/>
    </x:row>
    <x:row r="34">
      <x:c r="A34" s="16"/>
      <x:c r="B34" s="17" t="str"/>
      <x:c r="C34" s="17" t="str"/>
      <x:c r="D34" s="17" t="str"/>
      <x:c r="E34" s="17"/>
      <x:c r="F34" s="17" t="str"/>
      <x:c r="G34" s="33"/>
      <x:c r="H34" s="33" t="str">
        <x:f>IF(OR(E34="",G34=""),"",E34*G34)</x:f>
      </x:c>
      <x:c r="I34" s="17" t="str">
        <x:v>待确认</x:v>
      </x:c>
      <x:c r="J34" s="17" t="str">
        <x:v>待确认</x:v>
      </x:c>
      <x:c r="K34" s="17" t="str">
        <x:v>待补</x:v>
      </x:c>
      <x:c r="L34" s="17" t="str"/>
    </x:row>
    <x:row r="35">
      <x:c r="A35" s="16"/>
      <x:c r="B35" s="17" t="str"/>
      <x:c r="C35" s="17" t="str"/>
      <x:c r="D35" s="17" t="str"/>
      <x:c r="E35" s="17"/>
      <x:c r="F35" s="17" t="str"/>
      <x:c r="G35" s="33"/>
      <x:c r="H35" s="33" t="str">
        <x:f>IF(OR(E35="",G35=""),"",E35*G35)</x:f>
      </x:c>
      <x:c r="I35" s="17" t="str">
        <x:v>待确认</x:v>
      </x:c>
      <x:c r="J35" s="17" t="str">
        <x:v>待确认</x:v>
      </x:c>
      <x:c r="K35" s="17" t="str">
        <x:v>待补</x:v>
      </x:c>
      <x:c r="L35" s="17" t="str"/>
    </x:row>
    <x:row r="36">
      <x:c r="A36" s="16"/>
      <x:c r="B36" s="17" t="str"/>
      <x:c r="C36" s="17" t="str"/>
      <x:c r="D36" s="17" t="str"/>
      <x:c r="E36" s="17"/>
      <x:c r="F36" s="17" t="str"/>
      <x:c r="G36" s="33"/>
      <x:c r="H36" s="33" t="str">
        <x:f>IF(OR(E36="",G36=""),"",E36*G36)</x:f>
      </x:c>
      <x:c r="I36" s="17" t="str">
        <x:v>待确认</x:v>
      </x:c>
      <x:c r="J36" s="17" t="str">
        <x:v>待确认</x:v>
      </x:c>
      <x:c r="K36" s="17" t="str">
        <x:v>待补</x:v>
      </x:c>
      <x:c r="L36" s="17" t="str"/>
    </x:row>
    <x:row r="37">
      <x:c r="A37" s="16"/>
      <x:c r="B37" s="17" t="str"/>
      <x:c r="C37" s="17" t="str"/>
      <x:c r="D37" s="17" t="str"/>
      <x:c r="E37" s="17"/>
      <x:c r="F37" s="17" t="str"/>
      <x:c r="G37" s="33"/>
      <x:c r="H37" s="33" t="str">
        <x:f>IF(OR(E37="",G37=""),"",E37*G37)</x:f>
      </x:c>
      <x:c r="I37" s="17" t="str">
        <x:v>待确认</x:v>
      </x:c>
      <x:c r="J37" s="17" t="str">
        <x:v>待确认</x:v>
      </x:c>
      <x:c r="K37" s="17" t="str">
        <x:v>待补</x:v>
      </x:c>
      <x:c r="L37" s="17" t="str"/>
    </x:row>
    <x:row r="38">
      <x:c r="A38" s="16"/>
      <x:c r="B38" s="17" t="str"/>
      <x:c r="C38" s="17" t="str"/>
      <x:c r="D38" s="17" t="str"/>
      <x:c r="E38" s="17"/>
      <x:c r="F38" s="17" t="str"/>
      <x:c r="G38" s="33"/>
      <x:c r="H38" s="33" t="str">
        <x:f>IF(OR(E38="",G38=""),"",E38*G38)</x:f>
      </x:c>
      <x:c r="I38" s="17" t="str">
        <x:v>待确认</x:v>
      </x:c>
      <x:c r="J38" s="17" t="str">
        <x:v>待确认</x:v>
      </x:c>
      <x:c r="K38" s="17" t="str">
        <x:v>待补</x:v>
      </x:c>
      <x:c r="L38" s="17" t="str"/>
    </x:row>
    <x:row r="39">
      <x:c r="A39" s="16"/>
      <x:c r="B39" s="17" t="str"/>
      <x:c r="C39" s="17" t="str"/>
      <x:c r="D39" s="17" t="str"/>
      <x:c r="E39" s="17"/>
      <x:c r="F39" s="17" t="str"/>
      <x:c r="G39" s="33"/>
      <x:c r="H39" s="33" t="str">
        <x:f>IF(OR(E39="",G39=""),"",E39*G39)</x:f>
      </x:c>
      <x:c r="I39" s="17" t="str">
        <x:v>待确认</x:v>
      </x:c>
      <x:c r="J39" s="17" t="str">
        <x:v>待确认</x:v>
      </x:c>
      <x:c r="K39" s="17" t="str">
        <x:v>待补</x:v>
      </x:c>
      <x:c r="L39" s="17" t="str"/>
    </x:row>
    <x:row r="40">
      <x:c r="A40" s="16"/>
      <x:c r="B40" s="17" t="str"/>
      <x:c r="C40" s="17" t="str"/>
      <x:c r="D40" s="17" t="str"/>
      <x:c r="E40" s="17"/>
      <x:c r="F40" s="17" t="str"/>
      <x:c r="G40" s="33"/>
      <x:c r="H40" s="33" t="str">
        <x:f>IF(OR(E40="",G40=""),"",E40*G40)</x:f>
      </x:c>
      <x:c r="I40" s="17" t="str">
        <x:v>待确认</x:v>
      </x:c>
      <x:c r="J40" s="17" t="str">
        <x:v>待确认</x:v>
      </x:c>
      <x:c r="K40" s="17" t="str">
        <x:v>待补</x:v>
      </x:c>
      <x:c r="L40" s="17" t="str"/>
    </x:row>
    <x:row r="41">
      <x:c r="A41" s="16"/>
      <x:c r="B41" s="17" t="str"/>
      <x:c r="C41" s="17" t="str"/>
      <x:c r="D41" s="17" t="str"/>
      <x:c r="E41" s="17"/>
      <x:c r="F41" s="17" t="str"/>
      <x:c r="G41" s="33"/>
      <x:c r="H41" s="33" t="str">
        <x:f>IF(OR(E41="",G41=""),"",E41*G41)</x:f>
      </x:c>
      <x:c r="I41" s="17" t="str">
        <x:v>待确认</x:v>
      </x:c>
      <x:c r="J41" s="17" t="str">
        <x:v>待确认</x:v>
      </x:c>
      <x:c r="K41" s="17" t="str">
        <x:v>待补</x:v>
      </x:c>
      <x:c r="L41" s="17" t="str"/>
    </x:row>
    <x:row r="42">
      <x:c r="A42" s="16"/>
      <x:c r="B42" s="17" t="str"/>
      <x:c r="C42" s="17" t="str"/>
      <x:c r="D42" s="17" t="str"/>
      <x:c r="E42" s="17"/>
      <x:c r="F42" s="17" t="str"/>
      <x:c r="G42" s="33"/>
      <x:c r="H42" s="33" t="str">
        <x:f>IF(OR(E42="",G42=""),"",E42*G42)</x:f>
      </x:c>
      <x:c r="I42" s="17" t="str">
        <x:v>待确认</x:v>
      </x:c>
      <x:c r="J42" s="17" t="str">
        <x:v>待确认</x:v>
      </x:c>
      <x:c r="K42" s="17" t="str">
        <x:v>待补</x:v>
      </x:c>
      <x:c r="L42" s="17" t="str"/>
    </x:row>
    <x:row r="43">
      <x:c r="A43" s="16"/>
      <x:c r="B43" s="17" t="str"/>
      <x:c r="C43" s="17" t="str"/>
      <x:c r="D43" s="17" t="str"/>
      <x:c r="E43" s="17"/>
      <x:c r="F43" s="17" t="str"/>
      <x:c r="G43" s="33"/>
      <x:c r="H43" s="33" t="str">
        <x:f>IF(OR(E43="",G43=""),"",E43*G43)</x:f>
      </x:c>
      <x:c r="I43" s="17" t="str">
        <x:v>待确认</x:v>
      </x:c>
      <x:c r="J43" s="17" t="str">
        <x:v>待确认</x:v>
      </x:c>
      <x:c r="K43" s="17" t="str">
        <x:v>待补</x:v>
      </x:c>
      <x:c r="L43" s="17" t="str"/>
    </x:row>
    <x:row r="44">
      <x:c r="A44" s="16"/>
      <x:c r="B44" s="17" t="str"/>
      <x:c r="C44" s="17" t="str"/>
      <x:c r="D44" s="17" t="str"/>
      <x:c r="E44" s="17"/>
      <x:c r="F44" s="17" t="str"/>
      <x:c r="G44" s="33"/>
      <x:c r="H44" s="33" t="str">
        <x:f>IF(OR(E44="",G44=""),"",E44*G44)</x:f>
      </x:c>
      <x:c r="I44" s="17" t="str">
        <x:v>待确认</x:v>
      </x:c>
      <x:c r="J44" s="17" t="str">
        <x:v>待确认</x:v>
      </x:c>
      <x:c r="K44" s="17" t="str">
        <x:v>待补</x:v>
      </x:c>
      <x:c r="L44" s="17" t="str"/>
    </x:row>
    <x:row r="45">
      <x:c r="A45" s="16"/>
      <x:c r="B45" s="17" t="str"/>
      <x:c r="C45" s="17" t="str"/>
      <x:c r="D45" s="17" t="str"/>
      <x:c r="E45" s="17"/>
      <x:c r="F45" s="17" t="str"/>
      <x:c r="G45" s="33"/>
      <x:c r="H45" s="33" t="str">
        <x:f>IF(OR(E45="",G45=""),"",E45*G45)</x:f>
      </x:c>
      <x:c r="I45" s="17" t="str">
        <x:v>待确认</x:v>
      </x:c>
      <x:c r="J45" s="17" t="str">
        <x:v>待确认</x:v>
      </x:c>
      <x:c r="K45" s="17" t="str">
        <x:v>待补</x:v>
      </x:c>
      <x:c r="L45" s="17" t="str"/>
    </x:row>
    <x:row r="46">
      <x:c r="A46" s="16"/>
      <x:c r="B46" s="17" t="str"/>
      <x:c r="C46" s="17" t="str"/>
      <x:c r="D46" s="17" t="str"/>
      <x:c r="E46" s="17"/>
      <x:c r="F46" s="17" t="str"/>
      <x:c r="G46" s="33"/>
      <x:c r="H46" s="33" t="str">
        <x:f>IF(OR(E46="",G46=""),"",E46*G46)</x:f>
      </x:c>
      <x:c r="I46" s="17" t="str">
        <x:v>待确认</x:v>
      </x:c>
      <x:c r="J46" s="17" t="str">
        <x:v>待确认</x:v>
      </x:c>
      <x:c r="K46" s="17" t="str">
        <x:v>待补</x:v>
      </x:c>
      <x:c r="L46" s="17" t="str"/>
    </x:row>
    <x:row r="47">
      <x:c r="A47" s="16"/>
      <x:c r="B47" s="17" t="str"/>
      <x:c r="C47" s="17" t="str"/>
      <x:c r="D47" s="17" t="str"/>
      <x:c r="E47" s="17"/>
      <x:c r="F47" s="17" t="str"/>
      <x:c r="G47" s="33"/>
      <x:c r="H47" s="33" t="str">
        <x:f>IF(OR(E47="",G47=""),"",E47*G47)</x:f>
      </x:c>
      <x:c r="I47" s="17" t="str">
        <x:v>待确认</x:v>
      </x:c>
      <x:c r="J47" s="17" t="str">
        <x:v>待确认</x:v>
      </x:c>
      <x:c r="K47" s="17" t="str">
        <x:v>待补</x:v>
      </x:c>
      <x:c r="L47" s="17" t="str"/>
    </x:row>
    <x:row r="48">
      <x:c r="A48" s="16"/>
      <x:c r="B48" s="17" t="str"/>
      <x:c r="C48" s="17" t="str"/>
      <x:c r="D48" s="17" t="str"/>
      <x:c r="E48" s="17"/>
      <x:c r="F48" s="17" t="str"/>
      <x:c r="G48" s="33"/>
      <x:c r="H48" s="33" t="str">
        <x:f>IF(OR(E48="",G48=""),"",E48*G48)</x:f>
      </x:c>
      <x:c r="I48" s="17" t="str">
        <x:v>待确认</x:v>
      </x:c>
      <x:c r="J48" s="17" t="str">
        <x:v>待确认</x:v>
      </x:c>
      <x:c r="K48" s="17" t="str">
        <x:v>待补</x:v>
      </x:c>
      <x:c r="L48" s="17" t="str"/>
    </x:row>
    <x:row r="49">
      <x:c r="A49" s="16"/>
      <x:c r="B49" s="17" t="str"/>
      <x:c r="C49" s="17" t="str"/>
      <x:c r="D49" s="17" t="str"/>
      <x:c r="E49" s="17"/>
      <x:c r="F49" s="17" t="str"/>
      <x:c r="G49" s="33"/>
      <x:c r="H49" s="33" t="str">
        <x:f>IF(OR(E49="",G49=""),"",E49*G49)</x:f>
      </x:c>
      <x:c r="I49" s="17" t="str">
        <x:v>待确认</x:v>
      </x:c>
      <x:c r="J49" s="17" t="str">
        <x:v>待确认</x:v>
      </x:c>
      <x:c r="K49" s="17" t="str">
        <x:v>待补</x:v>
      </x:c>
      <x:c r="L49" s="17" t="str"/>
    </x:row>
    <x:row r="50">
      <x:c r="A50" s="16"/>
      <x:c r="B50" s="17" t="str"/>
      <x:c r="C50" s="17" t="str"/>
      <x:c r="D50" s="17" t="str"/>
      <x:c r="E50" s="17"/>
      <x:c r="F50" s="17" t="str"/>
      <x:c r="G50" s="33"/>
      <x:c r="H50" s="33" t="str">
        <x:f>IF(OR(E50="",G50=""),"",E50*G50)</x:f>
      </x:c>
      <x:c r="I50" s="17" t="str">
        <x:v>待确认</x:v>
      </x:c>
      <x:c r="J50" s="17" t="str">
        <x:v>待确认</x:v>
      </x:c>
      <x:c r="K50" s="17" t="str">
        <x:v>待补</x:v>
      </x:c>
      <x:c r="L50" s="17" t="str"/>
    </x:row>
    <x:row r="51">
      <x:c r="A51" s="16"/>
      <x:c r="B51" s="17" t="str"/>
      <x:c r="C51" s="17" t="str"/>
      <x:c r="D51" s="17" t="str"/>
      <x:c r="E51" s="17"/>
      <x:c r="F51" s="17" t="str"/>
      <x:c r="G51" s="33"/>
      <x:c r="H51" s="33" t="str">
        <x:f>IF(OR(E51="",G51=""),"",E51*G51)</x:f>
      </x:c>
      <x:c r="I51" s="17" t="str">
        <x:v>待确认</x:v>
      </x:c>
      <x:c r="J51" s="17" t="str">
        <x:v>待确认</x:v>
      </x:c>
      <x:c r="K51" s="17" t="str">
        <x:v>待补</x:v>
      </x:c>
      <x:c r="L51" s="17" t="str"/>
    </x:row>
    <x:row r="52">
      <x:c r="A52" s="16"/>
      <x:c r="B52" s="17" t="str"/>
      <x:c r="C52" s="17" t="str"/>
      <x:c r="D52" s="17" t="str"/>
      <x:c r="E52" s="17"/>
      <x:c r="F52" s="17" t="str"/>
      <x:c r="G52" s="33"/>
      <x:c r="H52" s="33" t="str">
        <x:f>IF(OR(E52="",G52=""),"",E52*G52)</x:f>
      </x:c>
      <x:c r="I52" s="17" t="str">
        <x:v>待确认</x:v>
      </x:c>
      <x:c r="J52" s="17" t="str">
        <x:v>待确认</x:v>
      </x:c>
      <x:c r="K52" s="17" t="str">
        <x:v>待补</x:v>
      </x:c>
      <x:c r="L52" s="17" t="str"/>
    </x:row>
    <x:row r="53">
      <x:c r="A53" s="16"/>
      <x:c r="B53" s="17" t="str"/>
      <x:c r="C53" s="17" t="str"/>
      <x:c r="D53" s="17" t="str"/>
      <x:c r="E53" s="17"/>
      <x:c r="F53" s="17" t="str"/>
      <x:c r="G53" s="33"/>
      <x:c r="H53" s="33" t="str">
        <x:f>IF(OR(E53="",G53=""),"",E53*G53)</x:f>
      </x:c>
      <x:c r="I53" s="17" t="str">
        <x:v>待确认</x:v>
      </x:c>
      <x:c r="J53" s="17" t="str">
        <x:v>待确认</x:v>
      </x:c>
      <x:c r="K53" s="17" t="str">
        <x:v>待补</x:v>
      </x:c>
      <x:c r="L53" s="17" t="str"/>
    </x:row>
    <x:row r="54">
      <x:c r="A54" s="16"/>
      <x:c r="B54" s="17" t="str"/>
      <x:c r="C54" s="17" t="str"/>
      <x:c r="D54" s="17" t="str"/>
      <x:c r="E54" s="17"/>
      <x:c r="F54" s="17" t="str"/>
      <x:c r="G54" s="33"/>
      <x:c r="H54" s="33" t="str">
        <x:f>IF(OR(E54="",G54=""),"",E54*G54)</x:f>
      </x:c>
      <x:c r="I54" s="17" t="str">
        <x:v>待确认</x:v>
      </x:c>
      <x:c r="J54" s="17" t="str">
        <x:v>待确认</x:v>
      </x:c>
      <x:c r="K54" s="17" t="str">
        <x:v>待补</x:v>
      </x:c>
      <x:c r="L54" s="17" t="str"/>
    </x:row>
    <x:row r="55">
      <x:c r="A55" s="16"/>
      <x:c r="B55" s="17" t="str"/>
      <x:c r="C55" s="17" t="str"/>
      <x:c r="D55" s="17" t="str"/>
      <x:c r="E55" s="17"/>
      <x:c r="F55" s="17" t="str"/>
      <x:c r="G55" s="33"/>
      <x:c r="H55" s="33" t="str">
        <x:f>IF(OR(E55="",G55=""),"",E55*G55)</x:f>
      </x:c>
      <x:c r="I55" s="17" t="str">
        <x:v>待确认</x:v>
      </x:c>
      <x:c r="J55" s="17" t="str">
        <x:v>待确认</x:v>
      </x:c>
      <x:c r="K55" s="17" t="str">
        <x:v>待补</x:v>
      </x:c>
      <x:c r="L55" s="17" t="str"/>
    </x:row>
    <x:row r="56">
      <x:c r="A56" s="16"/>
      <x:c r="B56" s="17" t="str"/>
      <x:c r="C56" s="17" t="str"/>
      <x:c r="D56" s="17" t="str"/>
      <x:c r="E56" s="17"/>
      <x:c r="F56" s="17" t="str"/>
      <x:c r="G56" s="33"/>
      <x:c r="H56" s="33" t="str">
        <x:f>IF(OR(E56="",G56=""),"",E56*G56)</x:f>
      </x:c>
      <x:c r="I56" s="17" t="str">
        <x:v>待确认</x:v>
      </x:c>
      <x:c r="J56" s="17" t="str">
        <x:v>待确认</x:v>
      </x:c>
      <x:c r="K56" s="17" t="str">
        <x:v>待补</x:v>
      </x:c>
      <x:c r="L56" s="17" t="str"/>
    </x:row>
    <x:row r="57">
      <x:c r="A57" s="16"/>
      <x:c r="B57" s="17" t="str"/>
      <x:c r="C57" s="17" t="str"/>
      <x:c r="D57" s="17" t="str"/>
      <x:c r="E57" s="17"/>
      <x:c r="F57" s="17" t="str"/>
      <x:c r="G57" s="33"/>
      <x:c r="H57" s="33" t="str">
        <x:f>IF(OR(E57="",G57=""),"",E57*G57)</x:f>
      </x:c>
      <x:c r="I57" s="17" t="str">
        <x:v>待确认</x:v>
      </x:c>
      <x:c r="J57" s="17" t="str">
        <x:v>待确认</x:v>
      </x:c>
      <x:c r="K57" s="17" t="str">
        <x:v>待补</x:v>
      </x:c>
      <x:c r="L57" s="17" t="str"/>
    </x:row>
    <x:row r="58">
      <x:c r="A58" s="16"/>
      <x:c r="B58" s="17" t="str"/>
      <x:c r="C58" s="17" t="str"/>
      <x:c r="D58" s="17" t="str"/>
      <x:c r="E58" s="17"/>
      <x:c r="F58" s="17" t="str"/>
      <x:c r="G58" s="33"/>
      <x:c r="H58" s="33" t="str">
        <x:f>IF(OR(E58="",G58=""),"",E58*G58)</x:f>
      </x:c>
      <x:c r="I58" s="17" t="str">
        <x:v>待确认</x:v>
      </x:c>
      <x:c r="J58" s="17" t="str">
        <x:v>待确认</x:v>
      </x:c>
      <x:c r="K58" s="17" t="str">
        <x:v>待补</x:v>
      </x:c>
      <x:c r="L58" s="17" t="str"/>
    </x:row>
    <x:row r="59">
      <x:c r="A59" s="16"/>
      <x:c r="B59" s="17" t="str"/>
      <x:c r="C59" s="17" t="str"/>
      <x:c r="D59" s="17" t="str"/>
      <x:c r="E59" s="17"/>
      <x:c r="F59" s="17" t="str"/>
      <x:c r="G59" s="33"/>
      <x:c r="H59" s="33" t="str">
        <x:f>IF(OR(E59="",G59=""),"",E59*G59)</x:f>
      </x:c>
      <x:c r="I59" s="17" t="str">
        <x:v>待确认</x:v>
      </x:c>
      <x:c r="J59" s="17" t="str">
        <x:v>待确认</x:v>
      </x:c>
      <x:c r="K59" s="17" t="str">
        <x:v>待补</x:v>
      </x:c>
      <x:c r="L59" s="17" t="str"/>
    </x:row>
    <x:row r="60">
      <x:c r="A60" s="16"/>
      <x:c r="B60" s="17" t="str"/>
      <x:c r="C60" s="17" t="str"/>
      <x:c r="D60" s="17" t="str"/>
      <x:c r="E60" s="17"/>
      <x:c r="F60" s="17" t="str"/>
      <x:c r="G60" s="33"/>
      <x:c r="H60" s="33" t="str">
        <x:f>IF(OR(E60="",G60=""),"",E60*G60)</x:f>
      </x:c>
      <x:c r="I60" s="17" t="str">
        <x:v>待确认</x:v>
      </x:c>
      <x:c r="J60" s="17" t="str">
        <x:v>待确认</x:v>
      </x:c>
      <x:c r="K60" s="17" t="str">
        <x:v>待补</x:v>
      </x:c>
      <x:c r="L60" s="17" t="str"/>
    </x:row>
    <x:row r="61">
      <x:c r="A61" s="16"/>
      <x:c r="B61" s="17" t="str"/>
      <x:c r="C61" s="17" t="str"/>
      <x:c r="D61" s="17" t="str"/>
      <x:c r="E61" s="17"/>
      <x:c r="F61" s="17" t="str"/>
      <x:c r="G61" s="33"/>
      <x:c r="H61" s="33" t="str">
        <x:f>IF(OR(E61="",G61=""),"",E61*G61)</x:f>
      </x:c>
      <x:c r="I61" s="17" t="str">
        <x:v>待确认</x:v>
      </x:c>
      <x:c r="J61" s="17" t="str">
        <x:v>待确认</x:v>
      </x:c>
      <x:c r="K61" s="17" t="str">
        <x:v>待补</x:v>
      </x:c>
      <x:c r="L61" s="17" t="str"/>
    </x:row>
    <x:row r="62">
      <x:c r="A62" s="16"/>
      <x:c r="B62" s="17" t="str"/>
      <x:c r="C62" s="17" t="str"/>
      <x:c r="D62" s="17" t="str"/>
      <x:c r="E62" s="17"/>
      <x:c r="F62" s="17" t="str"/>
      <x:c r="G62" s="33"/>
      <x:c r="H62" s="33" t="str">
        <x:f>IF(OR(E62="",G62=""),"",E62*G62)</x:f>
      </x:c>
      <x:c r="I62" s="17" t="str">
        <x:v>待确认</x:v>
      </x:c>
      <x:c r="J62" s="17" t="str">
        <x:v>待确认</x:v>
      </x:c>
      <x:c r="K62" s="17" t="str">
        <x:v>待补</x:v>
      </x:c>
      <x:c r="L62" s="17" t="str"/>
    </x:row>
    <x:row r="63">
      <x:c r="A63" s="16"/>
      <x:c r="B63" s="17" t="str"/>
      <x:c r="C63" s="17" t="str"/>
      <x:c r="D63" s="17" t="str"/>
      <x:c r="E63" s="17"/>
      <x:c r="F63" s="17" t="str"/>
      <x:c r="G63" s="33"/>
      <x:c r="H63" s="33" t="str">
        <x:f>IF(OR(E63="",G63=""),"",E63*G63)</x:f>
      </x:c>
      <x:c r="I63" s="17" t="str">
        <x:v>待确认</x:v>
      </x:c>
      <x:c r="J63" s="17" t="str">
        <x:v>待确认</x:v>
      </x:c>
      <x:c r="K63" s="17" t="str">
        <x:v>待补</x:v>
      </x:c>
      <x:c r="L63" s="17" t="str"/>
    </x:row>
    <x:row r="64">
      <x:c r="A64" s="16"/>
      <x:c r="B64" s="17" t="str"/>
      <x:c r="C64" s="17" t="str"/>
      <x:c r="D64" s="17" t="str"/>
      <x:c r="E64" s="17"/>
      <x:c r="F64" s="17" t="str"/>
      <x:c r="G64" s="33"/>
      <x:c r="H64" s="33" t="str">
        <x:f>IF(OR(E64="",G64=""),"",E64*G64)</x:f>
      </x:c>
      <x:c r="I64" s="17" t="str">
        <x:v>待确认</x:v>
      </x:c>
      <x:c r="J64" s="17" t="str">
        <x:v>待确认</x:v>
      </x:c>
      <x:c r="K64" s="17" t="str">
        <x:v>待补</x:v>
      </x:c>
      <x:c r="L64" s="17" t="str"/>
    </x:row>
    <x:row r="65">
      <x:c r="A65" s="16"/>
      <x:c r="B65" s="17" t="str"/>
      <x:c r="C65" s="17" t="str"/>
      <x:c r="D65" s="17" t="str"/>
      <x:c r="E65" s="17"/>
      <x:c r="F65" s="17" t="str"/>
      <x:c r="G65" s="33"/>
      <x:c r="H65" s="33" t="str">
        <x:f>IF(OR(E65="",G65=""),"",E65*G65)</x:f>
      </x:c>
      <x:c r="I65" s="17" t="str">
        <x:v>待确认</x:v>
      </x:c>
      <x:c r="J65" s="17" t="str">
        <x:v>待确认</x:v>
      </x:c>
      <x:c r="K65" s="17" t="str">
        <x:v>待补</x:v>
      </x:c>
      <x:c r="L65" s="17" t="str"/>
    </x:row>
    <x:row r="66">
      <x:c r="A66" s="16"/>
      <x:c r="B66" s="17" t="str"/>
      <x:c r="C66" s="17" t="str"/>
      <x:c r="D66" s="17" t="str"/>
      <x:c r="E66" s="17"/>
      <x:c r="F66" s="17" t="str"/>
      <x:c r="G66" s="33"/>
      <x:c r="H66" s="33" t="str">
        <x:f>IF(OR(E66="",G66=""),"",E66*G66)</x:f>
      </x:c>
      <x:c r="I66" s="17" t="str">
        <x:v>待确认</x:v>
      </x:c>
      <x:c r="J66" s="17" t="str">
        <x:v>待确认</x:v>
      </x:c>
      <x:c r="K66" s="17" t="str">
        <x:v>待补</x:v>
      </x:c>
      <x:c r="L66" s="17" t="str"/>
    </x:row>
    <x:row r="67">
      <x:c r="A67" s="16"/>
      <x:c r="B67" s="17" t="str"/>
      <x:c r="C67" s="17" t="str"/>
      <x:c r="D67" s="17" t="str"/>
      <x:c r="E67" s="17"/>
      <x:c r="F67" s="17" t="str"/>
      <x:c r="G67" s="33"/>
      <x:c r="H67" s="33" t="str">
        <x:f>IF(OR(E67="",G67=""),"",E67*G67)</x:f>
      </x:c>
      <x:c r="I67" s="17" t="str">
        <x:v>待确认</x:v>
      </x:c>
      <x:c r="J67" s="17" t="str">
        <x:v>待确认</x:v>
      </x:c>
      <x:c r="K67" s="17" t="str">
        <x:v>待补</x:v>
      </x:c>
      <x:c r="L67" s="17" t="str"/>
    </x:row>
    <x:row r="68">
      <x:c r="A68" s="16"/>
      <x:c r="B68" s="17" t="str"/>
      <x:c r="C68" s="17" t="str"/>
      <x:c r="D68" s="17" t="str"/>
      <x:c r="E68" s="17"/>
      <x:c r="F68" s="17" t="str"/>
      <x:c r="G68" s="33"/>
      <x:c r="H68" s="33" t="str">
        <x:f>IF(OR(E68="",G68=""),"",E68*G68)</x:f>
      </x:c>
      <x:c r="I68" s="17" t="str">
        <x:v>待确认</x:v>
      </x:c>
      <x:c r="J68" s="17" t="str">
        <x:v>待确认</x:v>
      </x:c>
      <x:c r="K68" s="17" t="str">
        <x:v>待补</x:v>
      </x:c>
      <x:c r="L68" s="17" t="str"/>
    </x:row>
    <x:row r="69">
      <x:c r="A69" s="16"/>
      <x:c r="B69" s="17" t="str"/>
      <x:c r="C69" s="17" t="str"/>
      <x:c r="D69" s="17" t="str"/>
      <x:c r="E69" s="17"/>
      <x:c r="F69" s="17" t="str"/>
      <x:c r="G69" s="33"/>
      <x:c r="H69" s="33" t="str">
        <x:f>IF(OR(E69="",G69=""),"",E69*G69)</x:f>
      </x:c>
      <x:c r="I69" s="17" t="str">
        <x:v>待确认</x:v>
      </x:c>
      <x:c r="J69" s="17" t="str">
        <x:v>待确认</x:v>
      </x:c>
      <x:c r="K69" s="17" t="str">
        <x:v>待补</x:v>
      </x:c>
      <x:c r="L69" s="17" t="str"/>
    </x:row>
    <x:row r="70">
      <x:c r="A70" s="16"/>
      <x:c r="B70" s="17" t="str"/>
      <x:c r="C70" s="17" t="str"/>
      <x:c r="D70" s="17" t="str"/>
      <x:c r="E70" s="17"/>
      <x:c r="F70" s="17" t="str"/>
      <x:c r="G70" s="33"/>
      <x:c r="H70" s="33" t="str">
        <x:f>IF(OR(E70="",G70=""),"",E70*G70)</x:f>
      </x:c>
      <x:c r="I70" s="17" t="str">
        <x:v>待确认</x:v>
      </x:c>
      <x:c r="J70" s="17" t="str">
        <x:v>待确认</x:v>
      </x:c>
      <x:c r="K70" s="17" t="str">
        <x:v>待补</x:v>
      </x:c>
      <x:c r="L70" s="17" t="str"/>
    </x:row>
    <x:row r="71">
      <x:c r="A71" s="16"/>
      <x:c r="B71" s="17" t="str"/>
      <x:c r="C71" s="17" t="str"/>
      <x:c r="D71" s="17" t="str"/>
      <x:c r="E71" s="17"/>
      <x:c r="F71" s="17" t="str"/>
      <x:c r="G71" s="33"/>
      <x:c r="H71" s="33" t="str">
        <x:f>IF(OR(E71="",G71=""),"",E71*G71)</x:f>
      </x:c>
      <x:c r="I71" s="17" t="str">
        <x:v>待确认</x:v>
      </x:c>
      <x:c r="J71" s="17" t="str">
        <x:v>待确认</x:v>
      </x:c>
      <x:c r="K71" s="17" t="str">
        <x:v>待补</x:v>
      </x:c>
      <x:c r="L71" s="17" t="str"/>
    </x:row>
    <x:row r="72">
      <x:c r="A72" s="16"/>
      <x:c r="B72" s="17" t="str"/>
      <x:c r="C72" s="17" t="str"/>
      <x:c r="D72" s="17" t="str"/>
      <x:c r="E72" s="17"/>
      <x:c r="F72" s="17" t="str"/>
      <x:c r="G72" s="33"/>
      <x:c r="H72" s="33" t="str">
        <x:f>IF(OR(E72="",G72=""),"",E72*G72)</x:f>
      </x:c>
      <x:c r="I72" s="17" t="str">
        <x:v>待确认</x:v>
      </x:c>
      <x:c r="J72" s="17" t="str">
        <x:v>待确认</x:v>
      </x:c>
      <x:c r="K72" s="17" t="str">
        <x:v>待补</x:v>
      </x:c>
      <x:c r="L72" s="17" t="str"/>
    </x:row>
    <x:row r="73">
      <x:c r="A73" s="16"/>
      <x:c r="B73" s="17" t="str"/>
      <x:c r="C73" s="17" t="str"/>
      <x:c r="D73" s="17" t="str"/>
      <x:c r="E73" s="17"/>
      <x:c r="F73" s="17" t="str"/>
      <x:c r="G73" s="33"/>
      <x:c r="H73" s="33" t="str">
        <x:f>IF(OR(E73="",G73=""),"",E73*G73)</x:f>
      </x:c>
      <x:c r="I73" s="17" t="str">
        <x:v>待确认</x:v>
      </x:c>
      <x:c r="J73" s="17" t="str">
        <x:v>待确认</x:v>
      </x:c>
      <x:c r="K73" s="17" t="str">
        <x:v>待补</x:v>
      </x:c>
      <x:c r="L73" s="17" t="str"/>
    </x:row>
    <x:row r="74">
      <x:c r="A74" s="16"/>
      <x:c r="B74" s="17" t="str"/>
      <x:c r="C74" s="17" t="str"/>
      <x:c r="D74" s="17" t="str"/>
      <x:c r="E74" s="17"/>
      <x:c r="F74" s="17" t="str"/>
      <x:c r="G74" s="33"/>
      <x:c r="H74" s="33" t="str">
        <x:f>IF(OR(E74="",G74=""),"",E74*G74)</x:f>
      </x:c>
      <x:c r="I74" s="17" t="str">
        <x:v>待确认</x:v>
      </x:c>
      <x:c r="J74" s="17" t="str">
        <x:v>待确认</x:v>
      </x:c>
      <x:c r="K74" s="17" t="str">
        <x:v>待补</x:v>
      </x:c>
      <x:c r="L74" s="17" t="str"/>
    </x:row>
    <x:row r="75">
      <x:c r="A75" s="16"/>
      <x:c r="B75" s="17" t="str"/>
      <x:c r="C75" s="17" t="str"/>
      <x:c r="D75" s="17" t="str"/>
      <x:c r="E75" s="17"/>
      <x:c r="F75" s="17" t="str"/>
      <x:c r="G75" s="33"/>
      <x:c r="H75" s="33" t="str">
        <x:f>IF(OR(E75="",G75=""),"",E75*G75)</x:f>
      </x:c>
      <x:c r="I75" s="17" t="str">
        <x:v>待确认</x:v>
      </x:c>
      <x:c r="J75" s="17" t="str">
        <x:v>待确认</x:v>
      </x:c>
      <x:c r="K75" s="17" t="str">
        <x:v>待补</x:v>
      </x:c>
      <x:c r="L75" s="17" t="str"/>
    </x:row>
    <x:row r="76">
      <x:c r="A76" s="16"/>
      <x:c r="B76" s="17" t="str"/>
      <x:c r="C76" s="17" t="str"/>
      <x:c r="D76" s="17" t="str"/>
      <x:c r="E76" s="17"/>
      <x:c r="F76" s="17" t="str"/>
      <x:c r="G76" s="33"/>
      <x:c r="H76" s="33" t="str">
        <x:f>IF(OR(E76="",G76=""),"",E76*G76)</x:f>
      </x:c>
      <x:c r="I76" s="17" t="str">
        <x:v>待确认</x:v>
      </x:c>
      <x:c r="J76" s="17" t="str">
        <x:v>待确认</x:v>
      </x:c>
      <x:c r="K76" s="17" t="str">
        <x:v>待补</x:v>
      </x:c>
      <x:c r="L76" s="17" t="str"/>
    </x:row>
    <x:row r="77">
      <x:c r="A77" s="16"/>
      <x:c r="B77" s="17" t="str"/>
      <x:c r="C77" s="17" t="str"/>
      <x:c r="D77" s="17" t="str"/>
      <x:c r="E77" s="17"/>
      <x:c r="F77" s="17" t="str"/>
      <x:c r="G77" s="33"/>
      <x:c r="H77" s="33" t="str">
        <x:f>IF(OR(E77="",G77=""),"",E77*G77)</x:f>
      </x:c>
      <x:c r="I77" s="17" t="str">
        <x:v>待确认</x:v>
      </x:c>
      <x:c r="J77" s="17" t="str">
        <x:v>待确认</x:v>
      </x:c>
      <x:c r="K77" s="17" t="str">
        <x:v>待补</x:v>
      </x:c>
      <x:c r="L77" s="17" t="str"/>
    </x:row>
    <x:row r="78">
      <x:c r="A78" s="16"/>
      <x:c r="B78" s="17" t="str"/>
      <x:c r="C78" s="17" t="str"/>
      <x:c r="D78" s="17" t="str"/>
      <x:c r="E78" s="17"/>
      <x:c r="F78" s="17" t="str"/>
      <x:c r="G78" s="33"/>
      <x:c r="H78" s="33" t="str">
        <x:f>IF(OR(E78="",G78=""),"",E78*G78)</x:f>
      </x:c>
      <x:c r="I78" s="17" t="str">
        <x:v>待确认</x:v>
      </x:c>
      <x:c r="J78" s="17" t="str">
        <x:v>待确认</x:v>
      </x:c>
      <x:c r="K78" s="17" t="str">
        <x:v>待补</x:v>
      </x:c>
      <x:c r="L78" s="17" t="str"/>
    </x:row>
    <x:row r="79">
      <x:c r="A79" s="16"/>
      <x:c r="B79" s="17" t="str"/>
      <x:c r="C79" s="17" t="str"/>
      <x:c r="D79" s="17" t="str"/>
      <x:c r="E79" s="17"/>
      <x:c r="F79" s="17" t="str"/>
      <x:c r="G79" s="33"/>
      <x:c r="H79" s="33" t="str">
        <x:f>IF(OR(E79="",G79=""),"",E79*G79)</x:f>
      </x:c>
      <x:c r="I79" s="17" t="str">
        <x:v>待确认</x:v>
      </x:c>
      <x:c r="J79" s="17" t="str">
        <x:v>待确认</x:v>
      </x:c>
      <x:c r="K79" s="17" t="str">
        <x:v>待补</x:v>
      </x:c>
      <x:c r="L79" s="17" t="str"/>
    </x:row>
    <x:row r="80">
      <x:c r="A80" s="16"/>
      <x:c r="B80" s="17" t="str"/>
      <x:c r="C80" s="17" t="str"/>
      <x:c r="D80" s="17" t="str"/>
      <x:c r="E80" s="17"/>
      <x:c r="F80" s="17" t="str"/>
      <x:c r="G80" s="33"/>
      <x:c r="H80" s="33" t="str">
        <x:f>IF(OR(E80="",G80=""),"",E80*G80)</x:f>
      </x:c>
      <x:c r="I80" s="17" t="str">
        <x:v>待确认</x:v>
      </x:c>
      <x:c r="J80" s="17" t="str">
        <x:v>待确认</x:v>
      </x:c>
      <x:c r="K80" s="17" t="str">
        <x:v>待补</x:v>
      </x:c>
      <x:c r="L80" s="17" t="str"/>
    </x:row>
    <x:row r="81">
      <x:c r="A81" s="16"/>
      <x:c r="B81" s="17" t="str"/>
      <x:c r="C81" s="17" t="str"/>
      <x:c r="D81" s="17" t="str"/>
      <x:c r="E81" s="17"/>
      <x:c r="F81" s="17" t="str"/>
      <x:c r="G81" s="33"/>
      <x:c r="H81" s="33" t="str">
        <x:f>IF(OR(E81="",G81=""),"",E81*G81)</x:f>
      </x:c>
      <x:c r="I81" s="17" t="str">
        <x:v>待确认</x:v>
      </x:c>
      <x:c r="J81" s="17" t="str">
        <x:v>待确认</x:v>
      </x:c>
      <x:c r="K81" s="17" t="str">
        <x:v>待补</x:v>
      </x:c>
      <x:c r="L81" s="17" t="str"/>
    </x:row>
    <x:row r="82">
      <x:c r="A82" s="16"/>
      <x:c r="B82" s="17" t="str"/>
      <x:c r="C82" s="17" t="str"/>
      <x:c r="D82" s="17" t="str"/>
      <x:c r="E82" s="17"/>
      <x:c r="F82" s="17" t="str"/>
      <x:c r="G82" s="33"/>
      <x:c r="H82" s="33" t="str">
        <x:f>IF(OR(E82="",G82=""),"",E82*G82)</x:f>
      </x:c>
      <x:c r="I82" s="17" t="str">
        <x:v>待确认</x:v>
      </x:c>
      <x:c r="J82" s="17" t="str">
        <x:v>待确认</x:v>
      </x:c>
      <x:c r="K82" s="17" t="str">
        <x:v>待补</x:v>
      </x:c>
      <x:c r="L82" s="17" t="str"/>
    </x:row>
    <x:row r="83">
      <x:c r="A83" s="16"/>
      <x:c r="B83" s="17" t="str"/>
      <x:c r="C83" s="17" t="str"/>
      <x:c r="D83" s="17" t="str"/>
      <x:c r="E83" s="17"/>
      <x:c r="F83" s="17" t="str"/>
      <x:c r="G83" s="33"/>
      <x:c r="H83" s="33" t="str">
        <x:f>IF(OR(E83="",G83=""),"",E83*G83)</x:f>
      </x:c>
      <x:c r="I83" s="17" t="str">
        <x:v>待确认</x:v>
      </x:c>
      <x:c r="J83" s="17" t="str">
        <x:v>待确认</x:v>
      </x:c>
      <x:c r="K83" s="17" t="str">
        <x:v>待补</x:v>
      </x:c>
      <x:c r="L83" s="17" t="str"/>
    </x:row>
    <x:row r="84">
      <x:c r="A84" s="16"/>
      <x:c r="B84" s="17" t="str"/>
      <x:c r="C84" s="17" t="str"/>
      <x:c r="D84" s="17" t="str"/>
      <x:c r="E84" s="17"/>
      <x:c r="F84" s="17" t="str"/>
      <x:c r="G84" s="33"/>
      <x:c r="H84" s="33" t="str">
        <x:f>IF(OR(E84="",G84=""),"",E84*G84)</x:f>
      </x:c>
      <x:c r="I84" s="17" t="str">
        <x:v>待确认</x:v>
      </x:c>
      <x:c r="J84" s="17" t="str">
        <x:v>待确认</x:v>
      </x:c>
      <x:c r="K84" s="17" t="str">
        <x:v>待补</x:v>
      </x:c>
      <x:c r="L84" s="17" t="str"/>
    </x:row>
    <x:row r="85">
      <x:c r="A85" s="16"/>
      <x:c r="B85" s="17" t="str"/>
      <x:c r="C85" s="17" t="str"/>
      <x:c r="D85" s="17" t="str"/>
      <x:c r="E85" s="17"/>
      <x:c r="F85" s="17" t="str"/>
      <x:c r="G85" s="33"/>
      <x:c r="H85" s="33" t="str">
        <x:f>IF(OR(E85="",G85=""),"",E85*G85)</x:f>
      </x:c>
      <x:c r="I85" s="17" t="str">
        <x:v>待确认</x:v>
      </x:c>
      <x:c r="J85" s="17" t="str">
        <x:v>待确认</x:v>
      </x:c>
      <x:c r="K85" s="17" t="str">
        <x:v>待补</x:v>
      </x:c>
      <x:c r="L85" s="17" t="str"/>
    </x:row>
    <x:row r="86">
      <x:c r="A86" s="16"/>
      <x:c r="B86" s="17" t="str"/>
      <x:c r="C86" s="17" t="str"/>
      <x:c r="D86" s="17" t="str"/>
      <x:c r="E86" s="17"/>
      <x:c r="F86" s="17" t="str"/>
      <x:c r="G86" s="33"/>
      <x:c r="H86" s="33" t="str">
        <x:f>IF(OR(E86="",G86=""),"",E86*G86)</x:f>
      </x:c>
      <x:c r="I86" s="17" t="str">
        <x:v>待确认</x:v>
      </x:c>
      <x:c r="J86" s="17" t="str">
        <x:v>待确认</x:v>
      </x:c>
      <x:c r="K86" s="17" t="str">
        <x:v>待补</x:v>
      </x:c>
      <x:c r="L86" s="17" t="str"/>
    </x:row>
    <x:row r="87">
      <x:c r="A87" s="16"/>
      <x:c r="B87" s="17" t="str"/>
      <x:c r="C87" s="17" t="str"/>
      <x:c r="D87" s="17" t="str"/>
      <x:c r="E87" s="17"/>
      <x:c r="F87" s="17" t="str"/>
      <x:c r="G87" s="33"/>
      <x:c r="H87" s="33" t="str">
        <x:f>IF(OR(E87="",G87=""),"",E87*G87)</x:f>
      </x:c>
      <x:c r="I87" s="17" t="str">
        <x:v>待确认</x:v>
      </x:c>
      <x:c r="J87" s="17" t="str">
        <x:v>待确认</x:v>
      </x:c>
      <x:c r="K87" s="17" t="str">
        <x:v>待补</x:v>
      </x:c>
      <x:c r="L87" s="17" t="str"/>
    </x:row>
    <x:row r="88">
      <x:c r="A88" s="16"/>
      <x:c r="B88" s="17" t="str"/>
      <x:c r="C88" s="17" t="str"/>
      <x:c r="D88" s="17" t="str"/>
      <x:c r="E88" s="17"/>
      <x:c r="F88" s="17" t="str"/>
      <x:c r="G88" s="33"/>
      <x:c r="H88" s="33" t="str">
        <x:f>IF(OR(E88="",G88=""),"",E88*G88)</x:f>
      </x:c>
      <x:c r="I88" s="17" t="str">
        <x:v>待确认</x:v>
      </x:c>
      <x:c r="J88" s="17" t="str">
        <x:v>待确认</x:v>
      </x:c>
      <x:c r="K88" s="17" t="str">
        <x:v>待补</x:v>
      </x:c>
      <x:c r="L88" s="17" t="str"/>
    </x:row>
    <x:row r="89">
      <x:c r="A89" s="16"/>
      <x:c r="B89" s="17" t="str"/>
      <x:c r="C89" s="17" t="str"/>
      <x:c r="D89" s="17" t="str"/>
      <x:c r="E89" s="17"/>
      <x:c r="F89" s="17" t="str"/>
      <x:c r="G89" s="33"/>
      <x:c r="H89" s="33" t="str">
        <x:f>IF(OR(E89="",G89=""),"",E89*G89)</x:f>
      </x:c>
      <x:c r="I89" s="17" t="str">
        <x:v>待确认</x:v>
      </x:c>
      <x:c r="J89" s="17" t="str">
        <x:v>待确认</x:v>
      </x:c>
      <x:c r="K89" s="17" t="str">
        <x:v>待补</x:v>
      </x:c>
      <x:c r="L89" s="17" t="str"/>
    </x:row>
    <x:row r="90">
      <x:c r="A90" s="16"/>
      <x:c r="B90" s="17" t="str"/>
      <x:c r="C90" s="17" t="str"/>
      <x:c r="D90" s="17" t="str"/>
      <x:c r="E90" s="17"/>
      <x:c r="F90" s="17" t="str"/>
      <x:c r="G90" s="33"/>
      <x:c r="H90" s="33" t="str">
        <x:f>IF(OR(E90="",G90=""),"",E90*G90)</x:f>
      </x:c>
      <x:c r="I90" s="17" t="str">
        <x:v>待确认</x:v>
      </x:c>
      <x:c r="J90" s="17" t="str">
        <x:v>待确认</x:v>
      </x:c>
      <x:c r="K90" s="17" t="str">
        <x:v>待补</x:v>
      </x:c>
      <x:c r="L90" s="17" t="str"/>
    </x:row>
    <x:row r="91">
      <x:c r="A91" s="16"/>
      <x:c r="B91" s="17" t="str"/>
      <x:c r="C91" s="17" t="str"/>
      <x:c r="D91" s="17" t="str"/>
      <x:c r="E91" s="17"/>
      <x:c r="F91" s="17" t="str"/>
      <x:c r="G91" s="33"/>
      <x:c r="H91" s="33" t="str">
        <x:f>IF(OR(E91="",G91=""),"",E91*G91)</x:f>
      </x:c>
      <x:c r="I91" s="17" t="str">
        <x:v>待确认</x:v>
      </x:c>
      <x:c r="J91" s="17" t="str">
        <x:v>待确认</x:v>
      </x:c>
      <x:c r="K91" s="17" t="str">
        <x:v>待补</x:v>
      </x:c>
      <x:c r="L91" s="17" t="str"/>
    </x:row>
    <x:row r="92">
      <x:c r="A92" s="16"/>
      <x:c r="B92" s="17" t="str"/>
      <x:c r="C92" s="17" t="str"/>
      <x:c r="D92" s="17" t="str"/>
      <x:c r="E92" s="17"/>
      <x:c r="F92" s="17" t="str"/>
      <x:c r="G92" s="33"/>
      <x:c r="H92" s="33" t="str">
        <x:f>IF(OR(E92="",G92=""),"",E92*G92)</x:f>
      </x:c>
      <x:c r="I92" s="17" t="str">
        <x:v>待确认</x:v>
      </x:c>
      <x:c r="J92" s="17" t="str">
        <x:v>待确认</x:v>
      </x:c>
      <x:c r="K92" s="17" t="str">
        <x:v>待补</x:v>
      </x:c>
      <x:c r="L92" s="17" t="str"/>
    </x:row>
    <x:row r="93">
      <x:c r="A93" s="16"/>
      <x:c r="B93" s="17" t="str"/>
      <x:c r="C93" s="17" t="str"/>
      <x:c r="D93" s="17" t="str"/>
      <x:c r="E93" s="17"/>
      <x:c r="F93" s="17" t="str"/>
      <x:c r="G93" s="33"/>
      <x:c r="H93" s="33" t="str">
        <x:f>IF(OR(E93="",G93=""),"",E93*G93)</x:f>
      </x:c>
      <x:c r="I93" s="17" t="str">
        <x:v>待确认</x:v>
      </x:c>
      <x:c r="J93" s="17" t="str">
        <x:v>待确认</x:v>
      </x:c>
      <x:c r="K93" s="17" t="str">
        <x:v>待补</x:v>
      </x:c>
      <x:c r="L93" s="17" t="str"/>
    </x:row>
    <x:row r="94">
      <x:c r="A94" s="16"/>
      <x:c r="B94" s="17" t="str"/>
      <x:c r="C94" s="17" t="str"/>
      <x:c r="D94" s="17" t="str"/>
      <x:c r="E94" s="17"/>
      <x:c r="F94" s="17" t="str"/>
      <x:c r="G94" s="33"/>
      <x:c r="H94" s="33" t="str">
        <x:f>IF(OR(E94="",G94=""),"",E94*G94)</x:f>
      </x:c>
      <x:c r="I94" s="17" t="str">
        <x:v>待确认</x:v>
      </x:c>
      <x:c r="J94" s="17" t="str">
        <x:v>待确认</x:v>
      </x:c>
      <x:c r="K94" s="17" t="str">
        <x:v>待补</x:v>
      </x:c>
      <x:c r="L94" s="17" t="str"/>
    </x:row>
    <x:row r="95">
      <x:c r="A95" s="16"/>
      <x:c r="B95" s="17" t="str"/>
      <x:c r="C95" s="17" t="str"/>
      <x:c r="D95" s="17" t="str"/>
      <x:c r="E95" s="17"/>
      <x:c r="F95" s="17" t="str"/>
      <x:c r="G95" s="33"/>
      <x:c r="H95" s="33" t="str">
        <x:f>IF(OR(E95="",G95=""),"",E95*G95)</x:f>
      </x:c>
      <x:c r="I95" s="17" t="str">
        <x:v>待确认</x:v>
      </x:c>
      <x:c r="J95" s="17" t="str">
        <x:v>待确认</x:v>
      </x:c>
      <x:c r="K95" s="17" t="str">
        <x:v>待补</x:v>
      </x:c>
      <x:c r="L95" s="17" t="str"/>
    </x:row>
    <x:row r="96">
      <x:c r="A96" s="16"/>
      <x:c r="B96" s="17" t="str"/>
      <x:c r="C96" s="17" t="str"/>
      <x:c r="D96" s="17" t="str"/>
      <x:c r="E96" s="17"/>
      <x:c r="F96" s="17" t="str"/>
      <x:c r="G96" s="33"/>
      <x:c r="H96" s="33" t="str">
        <x:f>IF(OR(E96="",G96=""),"",E96*G96)</x:f>
      </x:c>
      <x:c r="I96" s="17" t="str">
        <x:v>待确认</x:v>
      </x:c>
      <x:c r="J96" s="17" t="str">
        <x:v>待确认</x:v>
      </x:c>
      <x:c r="K96" s="17" t="str">
        <x:v>待补</x:v>
      </x:c>
      <x:c r="L96" s="17" t="str"/>
    </x:row>
    <x:row r="97">
      <x:c r="A97" s="16"/>
      <x:c r="B97" s="17" t="str"/>
      <x:c r="C97" s="17" t="str"/>
      <x:c r="D97" s="17" t="str"/>
      <x:c r="E97" s="17"/>
      <x:c r="F97" s="17" t="str"/>
      <x:c r="G97" s="33"/>
      <x:c r="H97" s="33" t="str">
        <x:f>IF(OR(E97="",G97=""),"",E97*G97)</x:f>
      </x:c>
      <x:c r="I97" s="17" t="str">
        <x:v>待确认</x:v>
      </x:c>
      <x:c r="J97" s="17" t="str">
        <x:v>待确认</x:v>
      </x:c>
      <x:c r="K97" s="17" t="str">
        <x:v>待补</x:v>
      </x:c>
      <x:c r="L97" s="17" t="str"/>
    </x:row>
    <x:row r="98">
      <x:c r="A98" s="16"/>
      <x:c r="B98" s="17" t="str"/>
      <x:c r="C98" s="17" t="str"/>
      <x:c r="D98" s="17" t="str"/>
      <x:c r="E98" s="17"/>
      <x:c r="F98" s="17" t="str"/>
      <x:c r="G98" s="33"/>
      <x:c r="H98" s="33" t="str">
        <x:f>IF(OR(E98="",G98=""),"",E98*G98)</x:f>
      </x:c>
      <x:c r="I98" s="17" t="str">
        <x:v>待确认</x:v>
      </x:c>
      <x:c r="J98" s="17" t="str">
        <x:v>待确认</x:v>
      </x:c>
      <x:c r="K98" s="17" t="str">
        <x:v>待补</x:v>
      </x:c>
      <x:c r="L98" s="17" t="str"/>
    </x:row>
    <x:row r="99">
      <x:c r="A99" s="16"/>
      <x:c r="B99" s="17" t="str"/>
      <x:c r="C99" s="17" t="str"/>
      <x:c r="D99" s="17" t="str"/>
      <x:c r="E99" s="17"/>
      <x:c r="F99" s="17" t="str"/>
      <x:c r="G99" s="33"/>
      <x:c r="H99" s="33" t="str">
        <x:f>IF(OR(E99="",G99=""),"",E99*G99)</x:f>
      </x:c>
      <x:c r="I99" s="17" t="str">
        <x:v>待确认</x:v>
      </x:c>
      <x:c r="J99" s="17" t="str">
        <x:v>待确认</x:v>
      </x:c>
      <x:c r="K99" s="17" t="str">
        <x:v>待补</x:v>
      </x:c>
      <x:c r="L99" s="17" t="str"/>
    </x:row>
    <x:row r="100">
      <x:c r="A100" s="16"/>
      <x:c r="B100" s="17" t="str"/>
      <x:c r="C100" s="17" t="str"/>
      <x:c r="D100" s="17" t="str"/>
      <x:c r="E100" s="17"/>
      <x:c r="F100" s="17" t="str"/>
      <x:c r="G100" s="33"/>
      <x:c r="H100" s="33" t="str">
        <x:f>IF(OR(E100="",G100=""),"",E100*G100)</x:f>
      </x:c>
      <x:c r="I100" s="17" t="str">
        <x:v>待确认</x:v>
      </x:c>
      <x:c r="J100" s="17" t="str">
        <x:v>待确认</x:v>
      </x:c>
      <x:c r="K100" s="17" t="str">
        <x:v>待补</x:v>
      </x:c>
      <x:c r="L100" s="17" t="str"/>
    </x:row>
    <x:row r="101">
      <x:c r="A101" s="16"/>
      <x:c r="B101" s="17" t="str"/>
      <x:c r="C101" s="17" t="str"/>
      <x:c r="D101" s="17" t="str"/>
      <x:c r="E101" s="17"/>
      <x:c r="F101" s="17" t="str"/>
      <x:c r="G101" s="33"/>
      <x:c r="H101" s="33" t="str">
        <x:f>IF(OR(E101="",G101=""),"",E101*G101)</x:f>
      </x:c>
      <x:c r="I101" s="17" t="str">
        <x:v>待确认</x:v>
      </x:c>
      <x:c r="J101" s="17" t="str">
        <x:v>待确认</x:v>
      </x:c>
      <x:c r="K101" s="17" t="str">
        <x:v>待补</x:v>
      </x:c>
      <x:c r="L101" s="17" t="str"/>
    </x:row>
    <x:row r="102">
      <x:c r="A102" s="16"/>
      <x:c r="B102" s="17" t="str"/>
      <x:c r="C102" s="17" t="str"/>
      <x:c r="D102" s="17" t="str"/>
      <x:c r="E102" s="17"/>
      <x:c r="F102" s="17" t="str"/>
      <x:c r="G102" s="33"/>
      <x:c r="H102" s="33" t="str">
        <x:f>IF(OR(E102="",G102=""),"",E102*G102)</x:f>
      </x:c>
      <x:c r="I102" s="17" t="str">
        <x:v>待确认</x:v>
      </x:c>
      <x:c r="J102" s="17" t="str">
        <x:v>待确认</x:v>
      </x:c>
      <x:c r="K102" s="17" t="str">
        <x:v>待补</x:v>
      </x:c>
      <x:c r="L102" s="17" t="str"/>
    </x:row>
    <x:row r="103">
      <x:c r="A103" s="16"/>
      <x:c r="B103" s="17" t="str"/>
      <x:c r="C103" s="17" t="str"/>
      <x:c r="D103" s="17" t="str"/>
      <x:c r="E103" s="17"/>
      <x:c r="F103" s="17" t="str"/>
      <x:c r="G103" s="33"/>
      <x:c r="H103" s="33" t="str">
        <x:f>IF(OR(E103="",G103=""),"",E103*G103)</x:f>
      </x:c>
      <x:c r="I103" s="17" t="str">
        <x:v>待确认</x:v>
      </x:c>
      <x:c r="J103" s="17" t="str">
        <x:v>待确认</x:v>
      </x:c>
      <x:c r="K103" s="17" t="str">
        <x:v>待补</x:v>
      </x:c>
      <x:c r="L103" s="17" t="str"/>
    </x:row>
    <x:row r="104">
      <x:c r="A104" s="16"/>
      <x:c r="B104" s="17" t="str"/>
      <x:c r="C104" s="17" t="str"/>
      <x:c r="D104" s="17" t="str"/>
      <x:c r="E104" s="17"/>
      <x:c r="F104" s="17" t="str"/>
      <x:c r="G104" s="33"/>
      <x:c r="H104" s="33" t="str">
        <x:f>IF(OR(E104="",G104=""),"",E104*G104)</x:f>
      </x:c>
      <x:c r="I104" s="17" t="str">
        <x:v>待确认</x:v>
      </x:c>
      <x:c r="J104" s="17" t="str">
        <x:v>待确认</x:v>
      </x:c>
      <x:c r="K104" s="17" t="str">
        <x:v>待补</x:v>
      </x:c>
      <x:c r="L104" s="17" t="str"/>
    </x:row>
    <x:row r="105">
      <x:c r="A105" s="16"/>
      <x:c r="B105" s="17" t="str"/>
      <x:c r="C105" s="17" t="str"/>
      <x:c r="D105" s="17" t="str"/>
      <x:c r="E105" s="17"/>
      <x:c r="F105" s="17" t="str"/>
      <x:c r="G105" s="33"/>
      <x:c r="H105" s="33" t="str">
        <x:f>IF(OR(E105="",G105=""),"",E105*G105)</x:f>
      </x:c>
      <x:c r="I105" s="17" t="str">
        <x:v>待确认</x:v>
      </x:c>
      <x:c r="J105" s="17" t="str">
        <x:v>待确认</x:v>
      </x:c>
      <x:c r="K105" s="17" t="str">
        <x:v>待补</x:v>
      </x:c>
      <x:c r="L105" s="17" t="str"/>
    </x:row>
    <x:row r="106">
      <x:c r="A106" s="16"/>
      <x:c r="B106" s="17" t="str"/>
      <x:c r="C106" s="17" t="str"/>
      <x:c r="D106" s="17" t="str"/>
      <x:c r="E106" s="17"/>
      <x:c r="F106" s="17" t="str"/>
      <x:c r="G106" s="33"/>
      <x:c r="H106" s="33" t="str">
        <x:f>IF(OR(E106="",G106=""),"",E106*G106)</x:f>
      </x:c>
      <x:c r="I106" s="17" t="str">
        <x:v>待确认</x:v>
      </x:c>
      <x:c r="J106" s="17" t="str">
        <x:v>待确认</x:v>
      </x:c>
      <x:c r="K106" s="17" t="str">
        <x:v>待补</x:v>
      </x:c>
      <x:c r="L106" s="17" t="str"/>
    </x:row>
    <x:row r="107">
      <x:c r="A107" s="16"/>
      <x:c r="B107" s="17" t="str"/>
      <x:c r="C107" s="17" t="str"/>
      <x:c r="D107" s="17" t="str"/>
      <x:c r="E107" s="17"/>
      <x:c r="F107" s="17" t="str"/>
      <x:c r="G107" s="33"/>
      <x:c r="H107" s="33" t="str">
        <x:f>IF(OR(E107="",G107=""),"",E107*G107)</x:f>
      </x:c>
      <x:c r="I107" s="17" t="str">
        <x:v>待确认</x:v>
      </x:c>
      <x:c r="J107" s="17" t="str">
        <x:v>待确认</x:v>
      </x:c>
      <x:c r="K107" s="17" t="str">
        <x:v>待补</x:v>
      </x:c>
      <x:c r="L107" s="17" t="str"/>
    </x:row>
    <x:row r="108">
      <x:c r="A108" s="16"/>
      <x:c r="B108" s="17" t="str"/>
      <x:c r="C108" s="17" t="str"/>
      <x:c r="D108" s="17" t="str"/>
      <x:c r="E108" s="17"/>
      <x:c r="F108" s="17" t="str"/>
      <x:c r="G108" s="33"/>
      <x:c r="H108" s="33" t="str">
        <x:f>IF(OR(E108="",G108=""),"",E108*G108)</x:f>
      </x:c>
      <x:c r="I108" s="17" t="str">
        <x:v>待确认</x:v>
      </x:c>
      <x:c r="J108" s="17" t="str">
        <x:v>待确认</x:v>
      </x:c>
      <x:c r="K108" s="17" t="str">
        <x:v>待补</x:v>
      </x:c>
      <x:c r="L108" s="17" t="str"/>
    </x:row>
    <x:row r="109">
      <x:c r="A109" s="16"/>
      <x:c r="B109" s="17" t="str"/>
      <x:c r="C109" s="17" t="str"/>
      <x:c r="D109" s="17" t="str"/>
      <x:c r="E109" s="17"/>
      <x:c r="F109" s="17" t="str"/>
      <x:c r="G109" s="33"/>
      <x:c r="H109" s="33" t="str">
        <x:f>IF(OR(E109="",G109=""),"",E109*G109)</x:f>
      </x:c>
      <x:c r="I109" s="17" t="str">
        <x:v>待确认</x:v>
      </x:c>
      <x:c r="J109" s="17" t="str">
        <x:v>待确认</x:v>
      </x:c>
      <x:c r="K109" s="17" t="str">
        <x:v>待补</x:v>
      </x:c>
      <x:c r="L109" s="17" t="str"/>
    </x:row>
    <x:row r="110">
      <x:c r="A110" s="16"/>
      <x:c r="B110" s="17" t="str"/>
      <x:c r="C110" s="17" t="str"/>
      <x:c r="D110" s="17" t="str"/>
      <x:c r="E110" s="17"/>
      <x:c r="F110" s="17" t="str"/>
      <x:c r="G110" s="33"/>
      <x:c r="H110" s="33" t="str">
        <x:f>IF(OR(E110="",G110=""),"",E110*G110)</x:f>
      </x:c>
      <x:c r="I110" s="17" t="str">
        <x:v>待确认</x:v>
      </x:c>
      <x:c r="J110" s="17" t="str">
        <x:v>待确认</x:v>
      </x:c>
      <x:c r="K110" s="17" t="str">
        <x:v>待补</x:v>
      </x:c>
      <x:c r="L110" s="17" t="str"/>
    </x:row>
    <x:row r="111">
      <x:c r="A111" s="16"/>
      <x:c r="B111" s="17" t="str"/>
      <x:c r="C111" s="17" t="str"/>
      <x:c r="D111" s="17" t="str"/>
      <x:c r="E111" s="17"/>
      <x:c r="F111" s="17" t="str"/>
      <x:c r="G111" s="33"/>
      <x:c r="H111" s="33" t="str">
        <x:f>IF(OR(E111="",G111=""),"",E111*G111)</x:f>
      </x:c>
      <x:c r="I111" s="17" t="str">
        <x:v>待确认</x:v>
      </x:c>
      <x:c r="J111" s="17" t="str">
        <x:v>待确认</x:v>
      </x:c>
      <x:c r="K111" s="17" t="str">
        <x:v>待补</x:v>
      </x:c>
      <x:c r="L111" s="17" t="str"/>
    </x:row>
    <x:row r="112">
      <x:c r="A112" s="16"/>
      <x:c r="B112" s="17" t="str"/>
      <x:c r="C112" s="17" t="str"/>
      <x:c r="D112" s="17" t="str"/>
      <x:c r="E112" s="17"/>
      <x:c r="F112" s="17" t="str"/>
      <x:c r="G112" s="33"/>
      <x:c r="H112" s="33" t="str">
        <x:f>IF(OR(E112="",G112=""),"",E112*G112)</x:f>
      </x:c>
      <x:c r="I112" s="17" t="str">
        <x:v>待确认</x:v>
      </x:c>
      <x:c r="J112" s="17" t="str">
        <x:v>待确认</x:v>
      </x:c>
      <x:c r="K112" s="17" t="str">
        <x:v>待补</x:v>
      </x:c>
      <x:c r="L112" s="17" t="str"/>
    </x:row>
    <x:row r="113">
      <x:c r="A113" s="16"/>
      <x:c r="B113" s="17" t="str"/>
      <x:c r="C113" s="17" t="str"/>
      <x:c r="D113" s="17" t="str"/>
      <x:c r="E113" s="17"/>
      <x:c r="F113" s="17" t="str"/>
      <x:c r="G113" s="33"/>
      <x:c r="H113" s="33" t="str">
        <x:f>IF(OR(E113="",G113=""),"",E113*G113)</x:f>
      </x:c>
      <x:c r="I113" s="17" t="str">
        <x:v>待确认</x:v>
      </x:c>
      <x:c r="J113" s="17" t="str">
        <x:v>待确认</x:v>
      </x:c>
      <x:c r="K113" s="17" t="str">
        <x:v>待补</x:v>
      </x:c>
      <x:c r="L113" s="17" t="str"/>
    </x:row>
    <x:row r="114">
      <x:c r="A114" s="16"/>
      <x:c r="B114" s="17" t="str"/>
      <x:c r="C114" s="17" t="str"/>
      <x:c r="D114" s="17" t="str"/>
      <x:c r="E114" s="17"/>
      <x:c r="F114" s="17" t="str"/>
      <x:c r="G114" s="33"/>
      <x:c r="H114" s="33" t="str">
        <x:f>IF(OR(E114="",G114=""),"",E114*G114)</x:f>
      </x:c>
      <x:c r="I114" s="17" t="str">
        <x:v>待确认</x:v>
      </x:c>
      <x:c r="J114" s="17" t="str">
        <x:v>待确认</x:v>
      </x:c>
      <x:c r="K114" s="17" t="str">
        <x:v>待补</x:v>
      </x:c>
      <x:c r="L114" s="17" t="str"/>
    </x:row>
    <x:row r="115">
      <x:c r="A115" s="16"/>
      <x:c r="B115" s="17" t="str"/>
      <x:c r="C115" s="17" t="str"/>
      <x:c r="D115" s="17" t="str"/>
      <x:c r="E115" s="17"/>
      <x:c r="F115" s="17" t="str"/>
      <x:c r="G115" s="33"/>
      <x:c r="H115" s="33" t="str">
        <x:f>IF(OR(E115="",G115=""),"",E115*G115)</x:f>
      </x:c>
      <x:c r="I115" s="17" t="str">
        <x:v>待确认</x:v>
      </x:c>
      <x:c r="J115" s="17" t="str">
        <x:v>待确认</x:v>
      </x:c>
      <x:c r="K115" s="17" t="str">
        <x:v>待补</x:v>
      </x:c>
      <x:c r="L115" s="17" t="str"/>
    </x:row>
    <x:row r="116">
      <x:c r="A116" s="16"/>
      <x:c r="B116" s="17" t="str"/>
      <x:c r="C116" s="17" t="str"/>
      <x:c r="D116" s="17" t="str"/>
      <x:c r="E116" s="17"/>
      <x:c r="F116" s="17" t="str"/>
      <x:c r="G116" s="33"/>
      <x:c r="H116" s="33" t="str">
        <x:f>IF(OR(E116="",G116=""),"",E116*G116)</x:f>
      </x:c>
      <x:c r="I116" s="17" t="str">
        <x:v>待确认</x:v>
      </x:c>
      <x:c r="J116" s="17" t="str">
        <x:v>待确认</x:v>
      </x:c>
      <x:c r="K116" s="17" t="str">
        <x:v>待补</x:v>
      </x:c>
      <x:c r="L116" s="17" t="str"/>
    </x:row>
    <x:row r="117">
      <x:c r="A117" s="16"/>
      <x:c r="B117" s="17" t="str"/>
      <x:c r="C117" s="17" t="str"/>
      <x:c r="D117" s="17" t="str"/>
      <x:c r="E117" s="17"/>
      <x:c r="F117" s="17" t="str"/>
      <x:c r="G117" s="33"/>
      <x:c r="H117" s="33" t="str">
        <x:f>IF(OR(E117="",G117=""),"",E117*G117)</x:f>
      </x:c>
      <x:c r="I117" s="17" t="str">
        <x:v>待确认</x:v>
      </x:c>
      <x:c r="J117" s="17" t="str">
        <x:v>待确认</x:v>
      </x:c>
      <x:c r="K117" s="17" t="str">
        <x:v>待补</x:v>
      </x:c>
      <x:c r="L117" s="17" t="str"/>
    </x:row>
    <x:row r="118">
      <x:c r="A118" s="16"/>
      <x:c r="B118" s="17" t="str"/>
      <x:c r="C118" s="17" t="str"/>
      <x:c r="D118" s="17" t="str"/>
      <x:c r="E118" s="17"/>
      <x:c r="F118" s="17" t="str"/>
      <x:c r="G118" s="33"/>
      <x:c r="H118" s="33" t="str">
        <x:f>IF(OR(E118="",G118=""),"",E118*G118)</x:f>
      </x:c>
      <x:c r="I118" s="17" t="str">
        <x:v>待确认</x:v>
      </x:c>
      <x:c r="J118" s="17" t="str">
        <x:v>待确认</x:v>
      </x:c>
      <x:c r="K118" s="17" t="str">
        <x:v>待补</x:v>
      </x:c>
      <x:c r="L118" s="17" t="str"/>
    </x:row>
    <x:row r="119">
      <x:c r="A119" s="16"/>
      <x:c r="B119" s="17" t="str"/>
      <x:c r="C119" s="17" t="str"/>
      <x:c r="D119" s="17" t="str"/>
      <x:c r="E119" s="17"/>
      <x:c r="F119" s="17" t="str"/>
      <x:c r="G119" s="33"/>
      <x:c r="H119" s="33" t="str">
        <x:f>IF(OR(E119="",G119=""),"",E119*G119)</x:f>
      </x:c>
      <x:c r="I119" s="17" t="str">
        <x:v>待确认</x:v>
      </x:c>
      <x:c r="J119" s="17" t="str">
        <x:v>待确认</x:v>
      </x:c>
      <x:c r="K119" s="17" t="str">
        <x:v>待补</x:v>
      </x:c>
      <x:c r="L119" s="17" t="str"/>
    </x:row>
    <x:row r="120">
      <x:c r="A120" s="16"/>
      <x:c r="B120" s="17" t="str"/>
      <x:c r="C120" s="17" t="str"/>
      <x:c r="D120" s="17" t="str"/>
      <x:c r="E120" s="17"/>
      <x:c r="F120" s="17" t="str"/>
      <x:c r="G120" s="33"/>
      <x:c r="H120" s="33" t="str">
        <x:f>IF(OR(E120="",G120=""),"",E120*G120)</x:f>
      </x:c>
      <x:c r="I120" s="17" t="str">
        <x:v>待确认</x:v>
      </x:c>
      <x:c r="J120" s="17" t="str">
        <x:v>待确认</x:v>
      </x:c>
      <x:c r="K120" s="17" t="str">
        <x:v>待补</x:v>
      </x:c>
      <x:c r="L120" s="17" t="str"/>
    </x:row>
    <x:row r="121">
      <x:c r="A121" s="16"/>
      <x:c r="B121" s="17" t="str"/>
      <x:c r="C121" s="17" t="str"/>
      <x:c r="D121" s="17" t="str"/>
      <x:c r="E121" s="17"/>
      <x:c r="F121" s="17" t="str"/>
      <x:c r="G121" s="33"/>
      <x:c r="H121" s="33" t="str">
        <x:f>IF(OR(E121="",G121=""),"",E121*G121)</x:f>
      </x:c>
      <x:c r="I121" s="17" t="str">
        <x:v>待确认</x:v>
      </x:c>
      <x:c r="J121" s="17" t="str">
        <x:v>待确认</x:v>
      </x:c>
      <x:c r="K121" s="17" t="str">
        <x:v>待补</x:v>
      </x:c>
      <x:c r="L121" s="17" t="str"/>
    </x:row>
    <x:row r="122">
      <x:c r="A122" s="16"/>
      <x:c r="B122" s="17" t="str"/>
      <x:c r="C122" s="17" t="str"/>
      <x:c r="D122" s="17" t="str"/>
      <x:c r="E122" s="17"/>
      <x:c r="F122" s="17" t="str"/>
      <x:c r="G122" s="33"/>
      <x:c r="H122" s="33" t="str">
        <x:f>IF(OR(E122="",G122=""),"",E122*G122)</x:f>
      </x:c>
      <x:c r="I122" s="17" t="str">
        <x:v>待确认</x:v>
      </x:c>
      <x:c r="J122" s="17" t="str">
        <x:v>待确认</x:v>
      </x:c>
      <x:c r="K122" s="17" t="str">
        <x:v>待补</x:v>
      </x:c>
      <x:c r="L122" s="17" t="str"/>
    </x:row>
    <x:row r="123">
      <x:c r="A123" s="16"/>
      <x:c r="B123" s="17" t="str"/>
      <x:c r="C123" s="17" t="str"/>
      <x:c r="D123" s="17" t="str"/>
      <x:c r="E123" s="17"/>
      <x:c r="F123" s="17" t="str"/>
      <x:c r="G123" s="33"/>
      <x:c r="H123" s="33" t="str">
        <x:f>IF(OR(E123="",G123=""),"",E123*G123)</x:f>
      </x:c>
      <x:c r="I123" s="17" t="str">
        <x:v>待确认</x:v>
      </x:c>
      <x:c r="J123" s="17" t="str">
        <x:v>待确认</x:v>
      </x:c>
      <x:c r="K123" s="17" t="str">
        <x:v>待补</x:v>
      </x:c>
      <x:c r="L123" s="17" t="str"/>
    </x:row>
    <x:row r="124">
      <x:c r="A124" s="16"/>
      <x:c r="B124" s="17" t="str"/>
      <x:c r="C124" s="17" t="str"/>
      <x:c r="D124" s="17" t="str"/>
      <x:c r="E124" s="17"/>
      <x:c r="F124" s="17" t="str"/>
      <x:c r="G124" s="33"/>
      <x:c r="H124" s="33" t="str">
        <x:f>IF(OR(E124="",G124=""),"",E124*G124)</x:f>
      </x:c>
      <x:c r="I124" s="17" t="str">
        <x:v>待确认</x:v>
      </x:c>
      <x:c r="J124" s="17" t="str">
        <x:v>待确认</x:v>
      </x:c>
      <x:c r="K124" s="17" t="str">
        <x:v>待补</x:v>
      </x:c>
      <x:c r="L124" s="17" t="str"/>
    </x:row>
    <x:row r="125">
      <x:c r="A125" s="16"/>
      <x:c r="B125" s="17" t="str"/>
      <x:c r="C125" s="17" t="str"/>
      <x:c r="D125" s="17" t="str"/>
      <x:c r="E125" s="17"/>
      <x:c r="F125" s="17" t="str"/>
      <x:c r="G125" s="33"/>
      <x:c r="H125" s="33" t="str">
        <x:f>IF(OR(E125="",G125=""),"",E125*G125)</x:f>
      </x:c>
      <x:c r="I125" s="17" t="str">
        <x:v>待确认</x:v>
      </x:c>
      <x:c r="J125" s="17" t="str">
        <x:v>待确认</x:v>
      </x:c>
      <x:c r="K125" s="17" t="str">
        <x:v>待补</x:v>
      </x:c>
      <x:c r="L125" s="17" t="str"/>
    </x:row>
    <x:row r="126">
      <x:c r="A126" s="16"/>
      <x:c r="B126" s="17" t="str"/>
      <x:c r="C126" s="17" t="str"/>
      <x:c r="D126" s="17" t="str"/>
      <x:c r="E126" s="17"/>
      <x:c r="F126" s="17" t="str"/>
      <x:c r="G126" s="33"/>
      <x:c r="H126" s="33" t="str">
        <x:f>IF(OR(E126="",G126=""),"",E126*G126)</x:f>
      </x:c>
      <x:c r="I126" s="17" t="str">
        <x:v>待确认</x:v>
      </x:c>
      <x:c r="J126" s="17" t="str">
        <x:v>待确认</x:v>
      </x:c>
      <x:c r="K126" s="17" t="str">
        <x:v>待补</x:v>
      </x:c>
      <x:c r="L126" s="17" t="str"/>
    </x:row>
    <x:row r="127">
      <x:c r="A127" s="16"/>
      <x:c r="B127" s="17" t="str"/>
      <x:c r="C127" s="17" t="str"/>
      <x:c r="D127" s="17" t="str"/>
      <x:c r="E127" s="17"/>
      <x:c r="F127" s="17" t="str"/>
      <x:c r="G127" s="33"/>
      <x:c r="H127" s="33" t="str">
        <x:f>IF(OR(E127="",G127=""),"",E127*G127)</x:f>
      </x:c>
      <x:c r="I127" s="17" t="str">
        <x:v>待确认</x:v>
      </x:c>
      <x:c r="J127" s="17" t="str">
        <x:v>待确认</x:v>
      </x:c>
      <x:c r="K127" s="17" t="str">
        <x:v>待补</x:v>
      </x:c>
      <x:c r="L127" s="17" t="str"/>
    </x:row>
    <x:row r="128">
      <x:c r="A128" s="16"/>
      <x:c r="B128" s="17" t="str"/>
      <x:c r="C128" s="17" t="str"/>
      <x:c r="D128" s="17" t="str"/>
      <x:c r="E128" s="17"/>
      <x:c r="F128" s="17" t="str"/>
      <x:c r="G128" s="33"/>
      <x:c r="H128" s="33" t="str">
        <x:f>IF(OR(E128="",G128=""),"",E128*G128)</x:f>
      </x:c>
      <x:c r="I128" s="17" t="str">
        <x:v>待确认</x:v>
      </x:c>
      <x:c r="J128" s="17" t="str">
        <x:v>待确认</x:v>
      </x:c>
      <x:c r="K128" s="17" t="str">
        <x:v>待补</x:v>
      </x:c>
      <x:c r="L128" s="17" t="str"/>
    </x:row>
    <x:row r="129">
      <x:c r="A129" s="16"/>
      <x:c r="B129" s="17" t="str"/>
      <x:c r="C129" s="17" t="str"/>
      <x:c r="D129" s="17" t="str"/>
      <x:c r="E129" s="17"/>
      <x:c r="F129" s="17" t="str"/>
      <x:c r="G129" s="33"/>
      <x:c r="H129" s="33" t="str">
        <x:f>IF(OR(E129="",G129=""),"",E129*G129)</x:f>
      </x:c>
      <x:c r="I129" s="17" t="str">
        <x:v>待确认</x:v>
      </x:c>
      <x:c r="J129" s="17" t="str">
        <x:v>待确认</x:v>
      </x:c>
      <x:c r="K129" s="17" t="str">
        <x:v>待补</x:v>
      </x:c>
      <x:c r="L129" s="17" t="str"/>
    </x:row>
    <x:row r="130">
      <x:c r="A130" s="16"/>
      <x:c r="B130" s="17" t="str"/>
      <x:c r="C130" s="17" t="str"/>
      <x:c r="D130" s="17" t="str"/>
      <x:c r="E130" s="17"/>
      <x:c r="F130" s="17" t="str"/>
      <x:c r="G130" s="33"/>
      <x:c r="H130" s="33" t="str">
        <x:f>IF(OR(E130="",G130=""),"",E130*G130)</x:f>
      </x:c>
      <x:c r="I130" s="17" t="str">
        <x:v>待确认</x:v>
      </x:c>
      <x:c r="J130" s="17" t="str">
        <x:v>待确认</x:v>
      </x:c>
      <x:c r="K130" s="17" t="str">
        <x:v>待补</x:v>
      </x:c>
      <x:c r="L130" s="17" t="str"/>
    </x:row>
    <x:row r="131">
      <x:c r="A131" s="16"/>
      <x:c r="B131" s="17" t="str"/>
      <x:c r="C131" s="17" t="str"/>
      <x:c r="D131" s="17" t="str"/>
      <x:c r="E131" s="17"/>
      <x:c r="F131" s="17" t="str"/>
      <x:c r="G131" s="33"/>
      <x:c r="H131" s="33" t="str">
        <x:f>IF(OR(E131="",G131=""),"",E131*G131)</x:f>
      </x:c>
      <x:c r="I131" s="17" t="str">
        <x:v>待确认</x:v>
      </x:c>
      <x:c r="J131" s="17" t="str">
        <x:v>待确认</x:v>
      </x:c>
      <x:c r="K131" s="17" t="str">
        <x:v>待补</x:v>
      </x:c>
      <x:c r="L131" s="17" t="str"/>
    </x:row>
    <x:row r="132">
      <x:c r="A132" s="16"/>
      <x:c r="B132" s="17" t="str"/>
      <x:c r="C132" s="17" t="str"/>
      <x:c r="D132" s="17" t="str"/>
      <x:c r="E132" s="17"/>
      <x:c r="F132" s="17" t="str"/>
      <x:c r="G132" s="33"/>
      <x:c r="H132" s="33" t="str">
        <x:f>IF(OR(E132="",G132=""),"",E132*G132)</x:f>
      </x:c>
      <x:c r="I132" s="17" t="str">
        <x:v>待确认</x:v>
      </x:c>
      <x:c r="J132" s="17" t="str">
        <x:v>待确认</x:v>
      </x:c>
      <x:c r="K132" s="17" t="str">
        <x:v>待补</x:v>
      </x:c>
      <x:c r="L132" s="17" t="str"/>
    </x:row>
    <x:row r="133">
      <x:c r="A133" s="16"/>
      <x:c r="B133" s="17" t="str"/>
      <x:c r="C133" s="17" t="str"/>
      <x:c r="D133" s="17" t="str"/>
      <x:c r="E133" s="17"/>
      <x:c r="F133" s="17" t="str"/>
      <x:c r="G133" s="33"/>
      <x:c r="H133" s="33" t="str">
        <x:f>IF(OR(E133="",G133=""),"",E133*G133)</x:f>
      </x:c>
      <x:c r="I133" s="17" t="str">
        <x:v>待确认</x:v>
      </x:c>
      <x:c r="J133" s="17" t="str">
        <x:v>待确认</x:v>
      </x:c>
      <x:c r="K133" s="17" t="str">
        <x:v>待补</x:v>
      </x:c>
      <x:c r="L133" s="17" t="str"/>
    </x:row>
    <x:row r="134">
      <x:c r="A134" s="16"/>
      <x:c r="B134" s="17" t="str"/>
      <x:c r="C134" s="17" t="str"/>
      <x:c r="D134" s="17" t="str"/>
      <x:c r="E134" s="17"/>
      <x:c r="F134" s="17" t="str"/>
      <x:c r="G134" s="33"/>
      <x:c r="H134" s="33" t="str">
        <x:f>IF(OR(E134="",G134=""),"",E134*G134)</x:f>
      </x:c>
      <x:c r="I134" s="17" t="str">
        <x:v>待确认</x:v>
      </x:c>
      <x:c r="J134" s="17" t="str">
        <x:v>待确认</x:v>
      </x:c>
      <x:c r="K134" s="17" t="str">
        <x:v>待补</x:v>
      </x:c>
      <x:c r="L134" s="17" t="str"/>
    </x:row>
    <x:row r="135">
      <x:c r="A135" s="16"/>
      <x:c r="B135" s="17" t="str"/>
      <x:c r="C135" s="17" t="str"/>
      <x:c r="D135" s="17" t="str"/>
      <x:c r="E135" s="17"/>
      <x:c r="F135" s="17" t="str"/>
      <x:c r="G135" s="33"/>
      <x:c r="H135" s="33" t="str">
        <x:f>IF(OR(E135="",G135=""),"",E135*G135)</x:f>
      </x:c>
      <x:c r="I135" s="17" t="str">
        <x:v>待确认</x:v>
      </x:c>
      <x:c r="J135" s="17" t="str">
        <x:v>待确认</x:v>
      </x:c>
      <x:c r="K135" s="17" t="str">
        <x:v>待补</x:v>
      </x:c>
      <x:c r="L135" s="17" t="str"/>
    </x:row>
    <x:row r="136">
      <x:c r="A136" s="16"/>
      <x:c r="B136" s="17" t="str"/>
      <x:c r="C136" s="17" t="str"/>
      <x:c r="D136" s="17" t="str"/>
      <x:c r="E136" s="17"/>
      <x:c r="F136" s="17" t="str"/>
      <x:c r="G136" s="33"/>
      <x:c r="H136" s="33" t="str">
        <x:f>IF(OR(E136="",G136=""),"",E136*G136)</x:f>
      </x:c>
      <x:c r="I136" s="17" t="str">
        <x:v>待确认</x:v>
      </x:c>
      <x:c r="J136" s="17" t="str">
        <x:v>待确认</x:v>
      </x:c>
      <x:c r="K136" s="17" t="str">
        <x:v>待补</x:v>
      </x:c>
      <x:c r="L136" s="17" t="str"/>
    </x:row>
    <x:row r="137">
      <x:c r="A137" s="16"/>
      <x:c r="B137" s="17" t="str"/>
      <x:c r="C137" s="17" t="str"/>
      <x:c r="D137" s="17" t="str"/>
      <x:c r="E137" s="17"/>
      <x:c r="F137" s="17" t="str"/>
      <x:c r="G137" s="33"/>
      <x:c r="H137" s="33" t="str">
        <x:f>IF(OR(E137="",G137=""),"",E137*G137)</x:f>
      </x:c>
      <x:c r="I137" s="17" t="str">
        <x:v>待确认</x:v>
      </x:c>
      <x:c r="J137" s="17" t="str">
        <x:v>待确认</x:v>
      </x:c>
      <x:c r="K137" s="17" t="str">
        <x:v>待补</x:v>
      </x:c>
      <x:c r="L137" s="17" t="str"/>
    </x:row>
    <x:row r="138">
      <x:c r="A138" s="16"/>
      <x:c r="B138" s="17" t="str"/>
      <x:c r="C138" s="17" t="str"/>
      <x:c r="D138" s="17" t="str"/>
      <x:c r="E138" s="17"/>
      <x:c r="F138" s="17" t="str"/>
      <x:c r="G138" s="33"/>
      <x:c r="H138" s="33" t="str">
        <x:f>IF(OR(E138="",G138=""),"",E138*G138)</x:f>
      </x:c>
      <x:c r="I138" s="17" t="str">
        <x:v>待确认</x:v>
      </x:c>
      <x:c r="J138" s="17" t="str">
        <x:v>待确认</x:v>
      </x:c>
      <x:c r="K138" s="17" t="str">
        <x:v>待补</x:v>
      </x:c>
      <x:c r="L138" s="17" t="str"/>
    </x:row>
    <x:row r="139">
      <x:c r="A139" s="16"/>
      <x:c r="B139" s="17" t="str"/>
      <x:c r="C139" s="17" t="str"/>
      <x:c r="D139" s="17" t="str"/>
      <x:c r="E139" s="17"/>
      <x:c r="F139" s="17" t="str"/>
      <x:c r="G139" s="33"/>
      <x:c r="H139" s="33" t="str">
        <x:f>IF(OR(E139="",G139=""),"",E139*G139)</x:f>
      </x:c>
      <x:c r="I139" s="17" t="str">
        <x:v>待确认</x:v>
      </x:c>
      <x:c r="J139" s="17" t="str">
        <x:v>待确认</x:v>
      </x:c>
      <x:c r="K139" s="17" t="str">
        <x:v>待补</x:v>
      </x:c>
      <x:c r="L139" s="17" t="str"/>
    </x:row>
    <x:row r="140">
      <x:c r="A140" s="16"/>
      <x:c r="B140" s="17" t="str"/>
      <x:c r="C140" s="17" t="str"/>
      <x:c r="D140" s="17" t="str"/>
      <x:c r="E140" s="17"/>
      <x:c r="F140" s="17" t="str"/>
      <x:c r="G140" s="33"/>
      <x:c r="H140" s="33" t="str">
        <x:f>IF(OR(E140="",G140=""),"",E140*G140)</x:f>
      </x:c>
      <x:c r="I140" s="17" t="str">
        <x:v>待确认</x:v>
      </x:c>
      <x:c r="J140" s="17" t="str">
        <x:v>待确认</x:v>
      </x:c>
      <x:c r="K140" s="17" t="str">
        <x:v>待补</x:v>
      </x:c>
      <x:c r="L140" s="17" t="str"/>
    </x:row>
    <x:row r="141">
      <x:c r="A141" s="16"/>
      <x:c r="B141" s="17" t="str"/>
      <x:c r="C141" s="17" t="str"/>
      <x:c r="D141" s="17" t="str"/>
      <x:c r="E141" s="17"/>
      <x:c r="F141" s="17" t="str"/>
      <x:c r="G141" s="33"/>
      <x:c r="H141" s="33" t="str">
        <x:f>IF(OR(E141="",G141=""),"",E141*G141)</x:f>
      </x:c>
      <x:c r="I141" s="17" t="str">
        <x:v>待确认</x:v>
      </x:c>
      <x:c r="J141" s="17" t="str">
        <x:v>待确认</x:v>
      </x:c>
      <x:c r="K141" s="17" t="str">
        <x:v>待补</x:v>
      </x:c>
      <x:c r="L141" s="17" t="str"/>
    </x:row>
    <x:row r="142">
      <x:c r="A142" s="16"/>
      <x:c r="B142" s="17" t="str"/>
      <x:c r="C142" s="17" t="str"/>
      <x:c r="D142" s="17" t="str"/>
      <x:c r="E142" s="17"/>
      <x:c r="F142" s="17" t="str"/>
      <x:c r="G142" s="33"/>
      <x:c r="H142" s="33" t="str">
        <x:f>IF(OR(E142="",G142=""),"",E142*G142)</x:f>
      </x:c>
      <x:c r="I142" s="17" t="str">
        <x:v>待确认</x:v>
      </x:c>
      <x:c r="J142" s="17" t="str">
        <x:v>待确认</x:v>
      </x:c>
      <x:c r="K142" s="17" t="str">
        <x:v>待补</x:v>
      </x:c>
      <x:c r="L142" s="17" t="str"/>
    </x:row>
    <x:row r="143">
      <x:c r="A143" s="16"/>
      <x:c r="B143" s="17" t="str"/>
      <x:c r="C143" s="17" t="str"/>
      <x:c r="D143" s="17" t="str"/>
      <x:c r="E143" s="17"/>
      <x:c r="F143" s="17" t="str"/>
      <x:c r="G143" s="33"/>
      <x:c r="H143" s="33" t="str">
        <x:f>IF(OR(E143="",G143=""),"",E143*G143)</x:f>
      </x:c>
      <x:c r="I143" s="17" t="str">
        <x:v>待确认</x:v>
      </x:c>
      <x:c r="J143" s="17" t="str">
        <x:v>待确认</x:v>
      </x:c>
      <x:c r="K143" s="17" t="str">
        <x:v>待补</x:v>
      </x:c>
      <x:c r="L143" s="17" t="str"/>
    </x:row>
    <x:row r="144">
      <x:c r="A144" s="16"/>
      <x:c r="B144" s="17" t="str"/>
      <x:c r="C144" s="17" t="str"/>
      <x:c r="D144" s="17" t="str"/>
      <x:c r="E144" s="17"/>
      <x:c r="F144" s="17" t="str"/>
      <x:c r="G144" s="33"/>
      <x:c r="H144" s="33" t="str">
        <x:f>IF(OR(E144="",G144=""),"",E144*G144)</x:f>
      </x:c>
      <x:c r="I144" s="17" t="str">
        <x:v>待确认</x:v>
      </x:c>
      <x:c r="J144" s="17" t="str">
        <x:v>待确认</x:v>
      </x:c>
      <x:c r="K144" s="17" t="str">
        <x:v>待补</x:v>
      </x:c>
      <x:c r="L144" s="17" t="str"/>
    </x:row>
    <x:row r="145">
      <x:c r="A145" s="16"/>
      <x:c r="B145" s="17" t="str"/>
      <x:c r="C145" s="17" t="str"/>
      <x:c r="D145" s="17" t="str"/>
      <x:c r="E145" s="17"/>
      <x:c r="F145" s="17" t="str"/>
      <x:c r="G145" s="33"/>
      <x:c r="H145" s="33" t="str">
        <x:f>IF(OR(E145="",G145=""),"",E145*G145)</x:f>
      </x:c>
      <x:c r="I145" s="17" t="str">
        <x:v>待确认</x:v>
      </x:c>
      <x:c r="J145" s="17" t="str">
        <x:v>待确认</x:v>
      </x:c>
      <x:c r="K145" s="17" t="str">
        <x:v>待补</x:v>
      </x:c>
      <x:c r="L145" s="17" t="str"/>
    </x:row>
    <x:row r="146">
      <x:c r="A146" s="16"/>
      <x:c r="B146" s="17" t="str"/>
      <x:c r="C146" s="17" t="str"/>
      <x:c r="D146" s="17" t="str"/>
      <x:c r="E146" s="17"/>
      <x:c r="F146" s="17" t="str"/>
      <x:c r="G146" s="33"/>
      <x:c r="H146" s="33" t="str">
        <x:f>IF(OR(E146="",G146=""),"",E146*G146)</x:f>
      </x:c>
      <x:c r="I146" s="17" t="str">
        <x:v>待确认</x:v>
      </x:c>
      <x:c r="J146" s="17" t="str">
        <x:v>待确认</x:v>
      </x:c>
      <x:c r="K146" s="17" t="str">
        <x:v>待补</x:v>
      </x:c>
      <x:c r="L146" s="17" t="str"/>
    </x:row>
    <x:row r="147">
      <x:c r="A147" s="16"/>
      <x:c r="B147" s="17" t="str"/>
      <x:c r="C147" s="17" t="str"/>
      <x:c r="D147" s="17" t="str"/>
      <x:c r="E147" s="17"/>
      <x:c r="F147" s="17" t="str"/>
      <x:c r="G147" s="33"/>
      <x:c r="H147" s="33" t="str">
        <x:f>IF(OR(E147="",G147=""),"",E147*G147)</x:f>
      </x:c>
      <x:c r="I147" s="17" t="str">
        <x:v>待确认</x:v>
      </x:c>
      <x:c r="J147" s="17" t="str">
        <x:v>待确认</x:v>
      </x:c>
      <x:c r="K147" s="17" t="str">
        <x:v>待补</x:v>
      </x:c>
      <x:c r="L147" s="17" t="str"/>
    </x:row>
    <x:row r="148">
      <x:c r="A148" s="16"/>
      <x:c r="B148" s="17" t="str"/>
      <x:c r="C148" s="17" t="str"/>
      <x:c r="D148" s="17" t="str"/>
      <x:c r="E148" s="17"/>
      <x:c r="F148" s="17" t="str"/>
      <x:c r="G148" s="33"/>
      <x:c r="H148" s="33" t="str">
        <x:f>IF(OR(E148="",G148=""),"",E148*G148)</x:f>
      </x:c>
      <x:c r="I148" s="17" t="str">
        <x:v>待确认</x:v>
      </x:c>
      <x:c r="J148" s="17" t="str">
        <x:v>待确认</x:v>
      </x:c>
      <x:c r="K148" s="17" t="str">
        <x:v>待补</x:v>
      </x:c>
      <x:c r="L148" s="17" t="str"/>
    </x:row>
    <x:row r="149">
      <x:c r="A149" s="16"/>
      <x:c r="B149" s="17" t="str"/>
      <x:c r="C149" s="17" t="str"/>
      <x:c r="D149" s="17" t="str"/>
      <x:c r="E149" s="17"/>
      <x:c r="F149" s="17" t="str"/>
      <x:c r="G149" s="33"/>
      <x:c r="H149" s="33" t="str">
        <x:f>IF(OR(E149="",G149=""),"",E149*G149)</x:f>
      </x:c>
      <x:c r="I149" s="17" t="str">
        <x:v>待确认</x:v>
      </x:c>
      <x:c r="J149" s="17" t="str">
        <x:v>待确认</x:v>
      </x:c>
      <x:c r="K149" s="17" t="str">
        <x:v>待补</x:v>
      </x:c>
      <x:c r="L149" s="17" t="str"/>
    </x:row>
    <x:row r="150">
      <x:c r="A150" s="16"/>
      <x:c r="B150" s="17" t="str"/>
      <x:c r="C150" s="17" t="str"/>
      <x:c r="D150" s="17" t="str"/>
      <x:c r="E150" s="17"/>
      <x:c r="F150" s="17" t="str"/>
      <x:c r="G150" s="33"/>
      <x:c r="H150" s="33" t="str">
        <x:f>IF(OR(E150="",G150=""),"",E150*G150)</x:f>
      </x:c>
      <x:c r="I150" s="17" t="str">
        <x:v>待确认</x:v>
      </x:c>
      <x:c r="J150" s="17" t="str">
        <x:v>待确认</x:v>
      </x:c>
      <x:c r="K150" s="17" t="str">
        <x:v>待补</x:v>
      </x:c>
      <x:c r="L150" s="17" t="str"/>
    </x:row>
    <x:row r="151">
      <x:c r="A151" s="16"/>
      <x:c r="B151" s="17" t="str"/>
      <x:c r="C151" s="17" t="str"/>
      <x:c r="D151" s="17" t="str"/>
      <x:c r="E151" s="17"/>
      <x:c r="F151" s="17" t="str"/>
      <x:c r="G151" s="33"/>
      <x:c r="H151" s="33" t="str">
        <x:f>IF(OR(E151="",G151=""),"",E151*G151)</x:f>
      </x:c>
      <x:c r="I151" s="17" t="str">
        <x:v>待确认</x:v>
      </x:c>
      <x:c r="J151" s="17" t="str">
        <x:v>待确认</x:v>
      </x:c>
      <x:c r="K151" s="17" t="str">
        <x:v>待补</x:v>
      </x:c>
      <x:c r="L151" s="17" t="str"/>
    </x:row>
  </x:sheetData>
  <x:dataValidations count="4">
    <x:dataValidation type="list" sqref="D2:D151">
      <x:formula1>6_字典与参考!$B$25:$B$29</x:formula1>
    </x:dataValidation>
    <x:dataValidation type="list" sqref="I2:I151">
      <x:formula1>"已入库,未入库,待确认"</x:formula1>
    </x:dataValidation>
    <x:dataValidation type="list" sqref="J2:J151">
      <x:formula1>6_字典与参考!$B$19:$B$21</x:formula1>
    </x:dataValidation>
    <x:dataValidation type="list" sqref="K2:K151">
      <x:formula1>6_字典与参考!$B$22:$B$24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ce881f544d41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8" hidden="0" customWidth="1"/>
    <x:col min="9" max="9" width="18" hidden="0" customWidth="1"/>
    <x:col min="10" max="10" width="10" hidden="0" customWidth="1"/>
    <x:col min="11" max="11" width="24" hidden="0" customWidth="1"/>
  </x:cols>
  <x:sheetData>
    <x:row r="1" ht="28" customHeight="1">
      <x:c r="A1" s="10" t="str">
        <x:v>日期</x:v>
      </x:c>
      <x:c r="B1" s="10" t="str">
        <x:v>SKU/物品</x:v>
      </x:c>
      <x:c r="C1" s="10" t="str">
        <x:v>类型</x:v>
      </x:c>
      <x:c r="D1" s="10" t="str">
        <x:v>系统库存</x:v>
      </x:c>
      <x:c r="E1" s="10" t="str">
        <x:v>盘点库存</x:v>
      </x:c>
      <x:c r="F1" s="10" t="str">
        <x:v>差异</x:v>
      </x:c>
      <x:c r="G1" s="10" t="str">
        <x:v>报损数量</x:v>
      </x:c>
      <x:c r="H1" s="10" t="str">
        <x:v>原因</x:v>
      </x:c>
      <x:c r="I1" s="10" t="str">
        <x:v>处理方式</x:v>
      </x:c>
      <x:c r="J1" s="10" t="str">
        <x:v>负责人</x:v>
      </x:c>
      <x:c r="K1" s="10" t="str">
        <x:v>备注</x:v>
      </x:c>
    </x:row>
    <x:row r="2">
      <x:c r="A2" s="16"/>
      <x:c r="B2" s="17" t="str"/>
      <x:c r="C2" s="17" t="str">
        <x:v>盘点</x:v>
      </x:c>
      <x:c r="D2" s="17"/>
      <x:c r="E2" s="17"/>
      <x:c r="F2" s="17" t="str">
        <x:f>IF(OR(D2="",E2=""),"",E2-D2)</x:f>
      </x:c>
      <x:c r="G2" s="17"/>
      <x:c r="H2" s="17" t="str"/>
      <x:c r="I2" s="17" t="str"/>
      <x:c r="J2" s="17" t="str"/>
      <x:c r="K2" s="17" t="str"/>
    </x:row>
    <x:row r="3">
      <x:c r="A3" s="16"/>
      <x:c r="B3" s="17" t="str"/>
      <x:c r="C3" s="17" t="str">
        <x:v>盘点</x:v>
      </x:c>
      <x:c r="D3" s="17"/>
      <x:c r="E3" s="17"/>
      <x:c r="F3" s="17" t="str">
        <x:f>IF(OR(D3="",E3=""),"",E3-D3)</x:f>
      </x:c>
      <x:c r="G3" s="17"/>
      <x:c r="H3" s="17" t="str"/>
      <x:c r="I3" s="17" t="str"/>
      <x:c r="J3" s="17" t="str"/>
      <x:c r="K3" s="17" t="str"/>
    </x:row>
    <x:row r="4">
      <x:c r="A4" s="16"/>
      <x:c r="B4" s="17" t="str"/>
      <x:c r="C4" s="17" t="str">
        <x:v>盘点</x:v>
      </x:c>
      <x:c r="D4" s="17"/>
      <x:c r="E4" s="17"/>
      <x:c r="F4" s="17" t="str">
        <x:f>IF(OR(D4="",E4=""),"",E4-D4)</x:f>
      </x:c>
      <x:c r="G4" s="17"/>
      <x:c r="H4" s="17" t="str"/>
      <x:c r="I4" s="17" t="str"/>
      <x:c r="J4" s="17" t="str"/>
      <x:c r="K4" s="17" t="str"/>
    </x:row>
    <x:row r="5">
      <x:c r="A5" s="16"/>
      <x:c r="B5" s="17" t="str"/>
      <x:c r="C5" s="17" t="str">
        <x:v>盘点</x:v>
      </x:c>
      <x:c r="D5" s="17"/>
      <x:c r="E5" s="17"/>
      <x:c r="F5" s="17" t="str">
        <x:f>IF(OR(D5="",E5=""),"",E5-D5)</x:f>
      </x:c>
      <x:c r="G5" s="17"/>
      <x:c r="H5" s="17" t="str"/>
      <x:c r="I5" s="17" t="str"/>
      <x:c r="J5" s="17" t="str"/>
      <x:c r="K5" s="17" t="str"/>
    </x:row>
    <x:row r="6">
      <x:c r="A6" s="16"/>
      <x:c r="B6" s="17" t="str"/>
      <x:c r="C6" s="17" t="str">
        <x:v>盘点</x:v>
      </x:c>
      <x:c r="D6" s="17"/>
      <x:c r="E6" s="17"/>
      <x:c r="F6" s="17" t="str">
        <x:f>IF(OR(D6="",E6=""),"",E6-D6)</x:f>
      </x:c>
      <x:c r="G6" s="17"/>
      <x:c r="H6" s="17" t="str"/>
      <x:c r="I6" s="17" t="str"/>
      <x:c r="J6" s="17" t="str"/>
      <x:c r="K6" s="17" t="str"/>
    </x:row>
    <x:row r="7">
      <x:c r="A7" s="16"/>
      <x:c r="B7" s="17" t="str"/>
      <x:c r="C7" s="17" t="str">
        <x:v>盘点</x:v>
      </x:c>
      <x:c r="D7" s="17"/>
      <x:c r="E7" s="17"/>
      <x:c r="F7" s="17" t="str">
        <x:f>IF(OR(D7="",E7=""),"",E7-D7)</x:f>
      </x:c>
      <x:c r="G7" s="17"/>
      <x:c r="H7" s="17" t="str"/>
      <x:c r="I7" s="17" t="str"/>
      <x:c r="J7" s="17" t="str"/>
      <x:c r="K7" s="17" t="str"/>
    </x:row>
    <x:row r="8">
      <x:c r="A8" s="16"/>
      <x:c r="B8" s="17" t="str"/>
      <x:c r="C8" s="17" t="str">
        <x:v>盘点</x:v>
      </x:c>
      <x:c r="D8" s="17"/>
      <x:c r="E8" s="17"/>
      <x:c r="F8" s="17" t="str">
        <x:f>IF(OR(D8="",E8=""),"",E8-D8)</x:f>
      </x:c>
      <x:c r="G8" s="17"/>
      <x:c r="H8" s="17" t="str"/>
      <x:c r="I8" s="17" t="str"/>
      <x:c r="J8" s="17" t="str"/>
      <x:c r="K8" s="17" t="str"/>
    </x:row>
    <x:row r="9">
      <x:c r="A9" s="16"/>
      <x:c r="B9" s="17" t="str"/>
      <x:c r="C9" s="17" t="str">
        <x:v>盘点</x:v>
      </x:c>
      <x:c r="D9" s="17"/>
      <x:c r="E9" s="17"/>
      <x:c r="F9" s="17" t="str">
        <x:f>IF(OR(D9="",E9=""),"",E9-D9)</x:f>
      </x:c>
      <x:c r="G9" s="17"/>
      <x:c r="H9" s="17" t="str"/>
      <x:c r="I9" s="17" t="str"/>
      <x:c r="J9" s="17" t="str"/>
      <x:c r="K9" s="17" t="str"/>
    </x:row>
    <x:row r="10">
      <x:c r="A10" s="16"/>
      <x:c r="B10" s="17" t="str"/>
      <x:c r="C10" s="17" t="str">
        <x:v>盘点</x:v>
      </x:c>
      <x:c r="D10" s="17"/>
      <x:c r="E10" s="17"/>
      <x:c r="F10" s="17" t="str">
        <x:f>IF(OR(D10="",E10=""),"",E10-D10)</x:f>
      </x:c>
      <x:c r="G10" s="17"/>
      <x:c r="H10" s="17" t="str"/>
      <x:c r="I10" s="17" t="str"/>
      <x:c r="J10" s="17" t="str"/>
      <x:c r="K10" s="17" t="str"/>
    </x:row>
    <x:row r="11">
      <x:c r="A11" s="16"/>
      <x:c r="B11" s="17" t="str"/>
      <x:c r="C11" s="17" t="str">
        <x:v>盘点</x:v>
      </x:c>
      <x:c r="D11" s="17"/>
      <x:c r="E11" s="17"/>
      <x:c r="F11" s="17" t="str">
        <x:f>IF(OR(D11="",E11=""),"",E11-D11)</x:f>
      </x:c>
      <x:c r="G11" s="17"/>
      <x:c r="H11" s="17" t="str"/>
      <x:c r="I11" s="17" t="str"/>
      <x:c r="J11" s="17" t="str"/>
      <x:c r="K11" s="17" t="str"/>
    </x:row>
    <x:row r="12">
      <x:c r="A12" s="16"/>
      <x:c r="B12" s="17" t="str"/>
      <x:c r="C12" s="17" t="str">
        <x:v>盘点</x:v>
      </x:c>
      <x:c r="D12" s="17"/>
      <x:c r="E12" s="17"/>
      <x:c r="F12" s="17" t="str">
        <x:f>IF(OR(D12="",E12=""),"",E12-D12)</x:f>
      </x:c>
      <x:c r="G12" s="17"/>
      <x:c r="H12" s="17" t="str"/>
      <x:c r="I12" s="17" t="str"/>
      <x:c r="J12" s="17" t="str"/>
      <x:c r="K12" s="17" t="str"/>
    </x:row>
    <x:row r="13">
      <x:c r="A13" s="16"/>
      <x:c r="B13" s="17" t="str"/>
      <x:c r="C13" s="17" t="str">
        <x:v>盘点</x:v>
      </x:c>
      <x:c r="D13" s="17"/>
      <x:c r="E13" s="17"/>
      <x:c r="F13" s="17" t="str">
        <x:f>IF(OR(D13="",E13=""),"",E13-D13)</x:f>
      </x:c>
      <x:c r="G13" s="17"/>
      <x:c r="H13" s="17" t="str"/>
      <x:c r="I13" s="17" t="str"/>
      <x:c r="J13" s="17" t="str"/>
      <x:c r="K13" s="17" t="str"/>
    </x:row>
    <x:row r="14">
      <x:c r="A14" s="16"/>
      <x:c r="B14" s="17" t="str"/>
      <x:c r="C14" s="17" t="str">
        <x:v>盘点</x:v>
      </x:c>
      <x:c r="D14" s="17"/>
      <x:c r="E14" s="17"/>
      <x:c r="F14" s="17" t="str">
        <x:f>IF(OR(D14="",E14=""),"",E14-D14)</x:f>
      </x:c>
      <x:c r="G14" s="17"/>
      <x:c r="H14" s="17" t="str"/>
      <x:c r="I14" s="17" t="str"/>
      <x:c r="J14" s="17" t="str"/>
      <x:c r="K14" s="17" t="str"/>
    </x:row>
    <x:row r="15">
      <x:c r="A15" s="16"/>
      <x:c r="B15" s="17" t="str"/>
      <x:c r="C15" s="17" t="str">
        <x:v>盘点</x:v>
      </x:c>
      <x:c r="D15" s="17"/>
      <x:c r="E15" s="17"/>
      <x:c r="F15" s="17" t="str">
        <x:f>IF(OR(D15="",E15=""),"",E15-D15)</x:f>
      </x:c>
      <x:c r="G15" s="17"/>
      <x:c r="H15" s="17" t="str"/>
      <x:c r="I15" s="17" t="str"/>
      <x:c r="J15" s="17" t="str"/>
      <x:c r="K15" s="17" t="str"/>
    </x:row>
    <x:row r="16">
      <x:c r="A16" s="16"/>
      <x:c r="B16" s="17" t="str"/>
      <x:c r="C16" s="17" t="str">
        <x:v>盘点</x:v>
      </x:c>
      <x:c r="D16" s="17"/>
      <x:c r="E16" s="17"/>
      <x:c r="F16" s="17" t="str">
        <x:f>IF(OR(D16="",E16=""),"",E16-D16)</x:f>
      </x:c>
      <x:c r="G16" s="17"/>
      <x:c r="H16" s="17" t="str"/>
      <x:c r="I16" s="17" t="str"/>
      <x:c r="J16" s="17" t="str"/>
      <x:c r="K16" s="17" t="str"/>
    </x:row>
    <x:row r="17">
      <x:c r="A17" s="16"/>
      <x:c r="B17" s="17" t="str"/>
      <x:c r="C17" s="17" t="str">
        <x:v>盘点</x:v>
      </x:c>
      <x:c r="D17" s="17"/>
      <x:c r="E17" s="17"/>
      <x:c r="F17" s="17" t="str">
        <x:f>IF(OR(D17="",E17=""),"",E17-D17)</x:f>
      </x:c>
      <x:c r="G17" s="17"/>
      <x:c r="H17" s="17" t="str"/>
      <x:c r="I17" s="17" t="str"/>
      <x:c r="J17" s="17" t="str"/>
      <x:c r="K17" s="17" t="str"/>
    </x:row>
    <x:row r="18">
      <x:c r="A18" s="16"/>
      <x:c r="B18" s="17" t="str"/>
      <x:c r="C18" s="17" t="str">
        <x:v>盘点</x:v>
      </x:c>
      <x:c r="D18" s="17"/>
      <x:c r="E18" s="17"/>
      <x:c r="F18" s="17" t="str">
        <x:f>IF(OR(D18="",E18=""),"",E18-D18)</x:f>
      </x:c>
      <x:c r="G18" s="17"/>
      <x:c r="H18" s="17" t="str"/>
      <x:c r="I18" s="17" t="str"/>
      <x:c r="J18" s="17" t="str"/>
      <x:c r="K18" s="17" t="str"/>
    </x:row>
    <x:row r="19">
      <x:c r="A19" s="16"/>
      <x:c r="B19" s="17" t="str"/>
      <x:c r="C19" s="17" t="str">
        <x:v>盘点</x:v>
      </x:c>
      <x:c r="D19" s="17"/>
      <x:c r="E19" s="17"/>
      <x:c r="F19" s="17" t="str">
        <x:f>IF(OR(D19="",E19=""),"",E19-D19)</x:f>
      </x:c>
      <x:c r="G19" s="17"/>
      <x:c r="H19" s="17" t="str"/>
      <x:c r="I19" s="17" t="str"/>
      <x:c r="J19" s="17" t="str"/>
      <x:c r="K19" s="17" t="str"/>
    </x:row>
    <x:row r="20">
      <x:c r="A20" s="16"/>
      <x:c r="B20" s="17" t="str"/>
      <x:c r="C20" s="17" t="str">
        <x:v>盘点</x:v>
      </x:c>
      <x:c r="D20" s="17"/>
      <x:c r="E20" s="17"/>
      <x:c r="F20" s="17" t="str">
        <x:f>IF(OR(D20="",E20=""),"",E20-D20)</x:f>
      </x:c>
      <x:c r="G20" s="17"/>
      <x:c r="H20" s="17" t="str"/>
      <x:c r="I20" s="17" t="str"/>
      <x:c r="J20" s="17" t="str"/>
      <x:c r="K20" s="17" t="str"/>
    </x:row>
    <x:row r="21">
      <x:c r="A21" s="16"/>
      <x:c r="B21" s="17" t="str"/>
      <x:c r="C21" s="17" t="str">
        <x:v>盘点</x:v>
      </x:c>
      <x:c r="D21" s="17"/>
      <x:c r="E21" s="17"/>
      <x:c r="F21" s="17" t="str">
        <x:f>IF(OR(D21="",E21=""),"",E21-D21)</x:f>
      </x:c>
      <x:c r="G21" s="17"/>
      <x:c r="H21" s="17" t="str"/>
      <x:c r="I21" s="17" t="str"/>
      <x:c r="J21" s="17" t="str"/>
      <x:c r="K21" s="17" t="str"/>
    </x:row>
    <x:row r="22">
      <x:c r="A22" s="16"/>
      <x:c r="B22" s="17" t="str"/>
      <x:c r="C22" s="17" t="str">
        <x:v>盘点</x:v>
      </x:c>
      <x:c r="D22" s="17"/>
      <x:c r="E22" s="17"/>
      <x:c r="F22" s="17" t="str">
        <x:f>IF(OR(D22="",E22=""),"",E22-D22)</x:f>
      </x:c>
      <x:c r="G22" s="17"/>
      <x:c r="H22" s="17" t="str"/>
      <x:c r="I22" s="17" t="str"/>
      <x:c r="J22" s="17" t="str"/>
      <x:c r="K22" s="17" t="str"/>
    </x:row>
    <x:row r="23">
      <x:c r="A23" s="16"/>
      <x:c r="B23" s="17" t="str"/>
      <x:c r="C23" s="17" t="str">
        <x:v>盘点</x:v>
      </x:c>
      <x:c r="D23" s="17"/>
      <x:c r="E23" s="17"/>
      <x:c r="F23" s="17" t="str">
        <x:f>IF(OR(D23="",E23=""),"",E23-D23)</x:f>
      </x:c>
      <x:c r="G23" s="17"/>
      <x:c r="H23" s="17" t="str"/>
      <x:c r="I23" s="17" t="str"/>
      <x:c r="J23" s="17" t="str"/>
      <x:c r="K23" s="17" t="str"/>
    </x:row>
    <x:row r="24">
      <x:c r="A24" s="16"/>
      <x:c r="B24" s="17" t="str"/>
      <x:c r="C24" s="17" t="str">
        <x:v>盘点</x:v>
      </x:c>
      <x:c r="D24" s="17"/>
      <x:c r="E24" s="17"/>
      <x:c r="F24" s="17" t="str">
        <x:f>IF(OR(D24="",E24=""),"",E24-D24)</x:f>
      </x:c>
      <x:c r="G24" s="17"/>
      <x:c r="H24" s="17" t="str"/>
      <x:c r="I24" s="17" t="str"/>
      <x:c r="J24" s="17" t="str"/>
      <x:c r="K24" s="17" t="str"/>
    </x:row>
    <x:row r="25">
      <x:c r="A25" s="16"/>
      <x:c r="B25" s="17" t="str"/>
      <x:c r="C25" s="17" t="str">
        <x:v>盘点</x:v>
      </x:c>
      <x:c r="D25" s="17"/>
      <x:c r="E25" s="17"/>
      <x:c r="F25" s="17" t="str">
        <x:f>IF(OR(D25="",E25=""),"",E25-D25)</x:f>
      </x:c>
      <x:c r="G25" s="17"/>
      <x:c r="H25" s="17" t="str"/>
      <x:c r="I25" s="17" t="str"/>
      <x:c r="J25" s="17" t="str"/>
      <x:c r="K25" s="17" t="str"/>
    </x:row>
    <x:row r="26">
      <x:c r="A26" s="16"/>
      <x:c r="B26" s="17" t="str"/>
      <x:c r="C26" s="17" t="str">
        <x:v>盘点</x:v>
      </x:c>
      <x:c r="D26" s="17"/>
      <x:c r="E26" s="17"/>
      <x:c r="F26" s="17" t="str">
        <x:f>IF(OR(D26="",E26=""),"",E26-D26)</x:f>
      </x:c>
      <x:c r="G26" s="17"/>
      <x:c r="H26" s="17" t="str"/>
      <x:c r="I26" s="17" t="str"/>
      <x:c r="J26" s="17" t="str"/>
      <x:c r="K26" s="17" t="str"/>
    </x:row>
    <x:row r="27">
      <x:c r="A27" s="16"/>
      <x:c r="B27" s="17" t="str"/>
      <x:c r="C27" s="17" t="str">
        <x:v>盘点</x:v>
      </x:c>
      <x:c r="D27" s="17"/>
      <x:c r="E27" s="17"/>
      <x:c r="F27" s="17" t="str">
        <x:f>IF(OR(D27="",E27=""),"",E27-D27)</x:f>
      </x:c>
      <x:c r="G27" s="17"/>
      <x:c r="H27" s="17" t="str"/>
      <x:c r="I27" s="17" t="str"/>
      <x:c r="J27" s="17" t="str"/>
      <x:c r="K27" s="17" t="str"/>
    </x:row>
    <x:row r="28">
      <x:c r="A28" s="16"/>
      <x:c r="B28" s="17" t="str"/>
      <x:c r="C28" s="17" t="str">
        <x:v>盘点</x:v>
      </x:c>
      <x:c r="D28" s="17"/>
      <x:c r="E28" s="17"/>
      <x:c r="F28" s="17" t="str">
        <x:f>IF(OR(D28="",E28=""),"",E28-D28)</x:f>
      </x:c>
      <x:c r="G28" s="17"/>
      <x:c r="H28" s="17" t="str"/>
      <x:c r="I28" s="17" t="str"/>
      <x:c r="J28" s="17" t="str"/>
      <x:c r="K28" s="17" t="str"/>
    </x:row>
    <x:row r="29">
      <x:c r="A29" s="16"/>
      <x:c r="B29" s="17" t="str"/>
      <x:c r="C29" s="17" t="str">
        <x:v>盘点</x:v>
      </x:c>
      <x:c r="D29" s="17"/>
      <x:c r="E29" s="17"/>
      <x:c r="F29" s="17" t="str">
        <x:f>IF(OR(D29="",E29=""),"",E29-D29)</x:f>
      </x:c>
      <x:c r="G29" s="17"/>
      <x:c r="H29" s="17" t="str"/>
      <x:c r="I29" s="17" t="str"/>
      <x:c r="J29" s="17" t="str"/>
      <x:c r="K29" s="17" t="str"/>
    </x:row>
    <x:row r="30">
      <x:c r="A30" s="16"/>
      <x:c r="B30" s="17" t="str"/>
      <x:c r="C30" s="17" t="str">
        <x:v>盘点</x:v>
      </x:c>
      <x:c r="D30" s="17"/>
      <x:c r="E30" s="17"/>
      <x:c r="F30" s="17" t="str">
        <x:f>IF(OR(D30="",E30=""),"",E30-D30)</x:f>
      </x:c>
      <x:c r="G30" s="17"/>
      <x:c r="H30" s="17" t="str"/>
      <x:c r="I30" s="17" t="str"/>
      <x:c r="J30" s="17" t="str"/>
      <x:c r="K30" s="17" t="str"/>
    </x:row>
    <x:row r="31">
      <x:c r="A31" s="16"/>
      <x:c r="B31" s="17" t="str"/>
      <x:c r="C31" s="17" t="str">
        <x:v>盘点</x:v>
      </x:c>
      <x:c r="D31" s="17"/>
      <x:c r="E31" s="17"/>
      <x:c r="F31" s="17" t="str">
        <x:f>IF(OR(D31="",E31=""),"",E31-D31)</x:f>
      </x:c>
      <x:c r="G31" s="17"/>
      <x:c r="H31" s="17" t="str"/>
      <x:c r="I31" s="17" t="str"/>
      <x:c r="J31" s="17" t="str"/>
      <x:c r="K31" s="17" t="str"/>
    </x:row>
    <x:row r="32">
      <x:c r="A32" s="16"/>
      <x:c r="B32" s="17" t="str"/>
      <x:c r="C32" s="17" t="str">
        <x:v>盘点</x:v>
      </x:c>
      <x:c r="D32" s="17"/>
      <x:c r="E32" s="17"/>
      <x:c r="F32" s="17" t="str">
        <x:f>IF(OR(D32="",E32=""),"",E32-D32)</x:f>
      </x:c>
      <x:c r="G32" s="17"/>
      <x:c r="H32" s="17" t="str"/>
      <x:c r="I32" s="17" t="str"/>
      <x:c r="J32" s="17" t="str"/>
      <x:c r="K32" s="17" t="str"/>
    </x:row>
    <x:row r="33">
      <x:c r="A33" s="16"/>
      <x:c r="B33" s="17" t="str"/>
      <x:c r="C33" s="17" t="str">
        <x:v>盘点</x:v>
      </x:c>
      <x:c r="D33" s="17"/>
      <x:c r="E33" s="17"/>
      <x:c r="F33" s="17" t="str">
        <x:f>IF(OR(D33="",E33=""),"",E33-D33)</x:f>
      </x:c>
      <x:c r="G33" s="17"/>
      <x:c r="H33" s="17" t="str"/>
      <x:c r="I33" s="17" t="str"/>
      <x:c r="J33" s="17" t="str"/>
      <x:c r="K33" s="17" t="str"/>
    </x:row>
    <x:row r="34">
      <x:c r="A34" s="16"/>
      <x:c r="B34" s="17" t="str"/>
      <x:c r="C34" s="17" t="str">
        <x:v>盘点</x:v>
      </x:c>
      <x:c r="D34" s="17"/>
      <x:c r="E34" s="17"/>
      <x:c r="F34" s="17" t="str">
        <x:f>IF(OR(D34="",E34=""),"",E34-D34)</x:f>
      </x:c>
      <x:c r="G34" s="17"/>
      <x:c r="H34" s="17" t="str"/>
      <x:c r="I34" s="17" t="str"/>
      <x:c r="J34" s="17" t="str"/>
      <x:c r="K34" s="17" t="str"/>
    </x:row>
    <x:row r="35">
      <x:c r="A35" s="16"/>
      <x:c r="B35" s="17" t="str"/>
      <x:c r="C35" s="17" t="str">
        <x:v>盘点</x:v>
      </x:c>
      <x:c r="D35" s="17"/>
      <x:c r="E35" s="17"/>
      <x:c r="F35" s="17" t="str">
        <x:f>IF(OR(D35="",E35=""),"",E35-D35)</x:f>
      </x:c>
      <x:c r="G35" s="17"/>
      <x:c r="H35" s="17" t="str"/>
      <x:c r="I35" s="17" t="str"/>
      <x:c r="J35" s="17" t="str"/>
      <x:c r="K35" s="17" t="str"/>
    </x:row>
    <x:row r="36">
      <x:c r="A36" s="16"/>
      <x:c r="B36" s="17" t="str"/>
      <x:c r="C36" s="17" t="str">
        <x:v>盘点</x:v>
      </x:c>
      <x:c r="D36" s="17"/>
      <x:c r="E36" s="17"/>
      <x:c r="F36" s="17" t="str">
        <x:f>IF(OR(D36="",E36=""),"",E36-D36)</x:f>
      </x:c>
      <x:c r="G36" s="17"/>
      <x:c r="H36" s="17" t="str"/>
      <x:c r="I36" s="17" t="str"/>
      <x:c r="J36" s="17" t="str"/>
      <x:c r="K36" s="17" t="str"/>
    </x:row>
    <x:row r="37">
      <x:c r="A37" s="16"/>
      <x:c r="B37" s="17" t="str"/>
      <x:c r="C37" s="17" t="str">
        <x:v>盘点</x:v>
      </x:c>
      <x:c r="D37" s="17"/>
      <x:c r="E37" s="17"/>
      <x:c r="F37" s="17" t="str">
        <x:f>IF(OR(D37="",E37=""),"",E37-D37)</x:f>
      </x:c>
      <x:c r="G37" s="17"/>
      <x:c r="H37" s="17" t="str"/>
      <x:c r="I37" s="17" t="str"/>
      <x:c r="J37" s="17" t="str"/>
      <x:c r="K37" s="17" t="str"/>
    </x:row>
    <x:row r="38">
      <x:c r="A38" s="16"/>
      <x:c r="B38" s="17" t="str"/>
      <x:c r="C38" s="17" t="str">
        <x:v>盘点</x:v>
      </x:c>
      <x:c r="D38" s="17"/>
      <x:c r="E38" s="17"/>
      <x:c r="F38" s="17" t="str">
        <x:f>IF(OR(D38="",E38=""),"",E38-D38)</x:f>
      </x:c>
      <x:c r="G38" s="17"/>
      <x:c r="H38" s="17" t="str"/>
      <x:c r="I38" s="17" t="str"/>
      <x:c r="J38" s="17" t="str"/>
      <x:c r="K38" s="17" t="str"/>
    </x:row>
    <x:row r="39">
      <x:c r="A39" s="16"/>
      <x:c r="B39" s="17" t="str"/>
      <x:c r="C39" s="17" t="str">
        <x:v>盘点</x:v>
      </x:c>
      <x:c r="D39" s="17"/>
      <x:c r="E39" s="17"/>
      <x:c r="F39" s="17" t="str">
        <x:f>IF(OR(D39="",E39=""),"",E39-D39)</x:f>
      </x:c>
      <x:c r="G39" s="17"/>
      <x:c r="H39" s="17" t="str"/>
      <x:c r="I39" s="17" t="str"/>
      <x:c r="J39" s="17" t="str"/>
      <x:c r="K39" s="17" t="str"/>
    </x:row>
    <x:row r="40">
      <x:c r="A40" s="16"/>
      <x:c r="B40" s="17" t="str"/>
      <x:c r="C40" s="17" t="str">
        <x:v>盘点</x:v>
      </x:c>
      <x:c r="D40" s="17"/>
      <x:c r="E40" s="17"/>
      <x:c r="F40" s="17" t="str">
        <x:f>IF(OR(D40="",E40=""),"",E40-D40)</x:f>
      </x:c>
      <x:c r="G40" s="17"/>
      <x:c r="H40" s="17" t="str"/>
      <x:c r="I40" s="17" t="str"/>
      <x:c r="J40" s="17" t="str"/>
      <x:c r="K40" s="17" t="str"/>
    </x:row>
    <x:row r="41">
      <x:c r="A41" s="16"/>
      <x:c r="B41" s="17" t="str"/>
      <x:c r="C41" s="17" t="str">
        <x:v>盘点</x:v>
      </x:c>
      <x:c r="D41" s="17"/>
      <x:c r="E41" s="17"/>
      <x:c r="F41" s="17" t="str">
        <x:f>IF(OR(D41="",E41=""),"",E41-D41)</x:f>
      </x:c>
      <x:c r="G41" s="17"/>
      <x:c r="H41" s="17" t="str"/>
      <x:c r="I41" s="17" t="str"/>
      <x:c r="J41" s="17" t="str"/>
      <x:c r="K41" s="17" t="str"/>
    </x:row>
    <x:row r="42">
      <x:c r="A42" s="16"/>
      <x:c r="B42" s="17" t="str"/>
      <x:c r="C42" s="17" t="str">
        <x:v>盘点</x:v>
      </x:c>
      <x:c r="D42" s="17"/>
      <x:c r="E42" s="17"/>
      <x:c r="F42" s="17" t="str">
        <x:f>IF(OR(D42="",E42=""),"",E42-D42)</x:f>
      </x:c>
      <x:c r="G42" s="17"/>
      <x:c r="H42" s="17" t="str"/>
      <x:c r="I42" s="17" t="str"/>
      <x:c r="J42" s="17" t="str"/>
      <x:c r="K42" s="17" t="str"/>
    </x:row>
    <x:row r="43">
      <x:c r="A43" s="16"/>
      <x:c r="B43" s="17" t="str"/>
      <x:c r="C43" s="17" t="str">
        <x:v>盘点</x:v>
      </x:c>
      <x:c r="D43" s="17"/>
      <x:c r="E43" s="17"/>
      <x:c r="F43" s="17" t="str">
        <x:f>IF(OR(D43="",E43=""),"",E43-D43)</x:f>
      </x:c>
      <x:c r="G43" s="17"/>
      <x:c r="H43" s="17" t="str"/>
      <x:c r="I43" s="17" t="str"/>
      <x:c r="J43" s="17" t="str"/>
      <x:c r="K43" s="17" t="str"/>
    </x:row>
    <x:row r="44">
      <x:c r="A44" s="16"/>
      <x:c r="B44" s="17" t="str"/>
      <x:c r="C44" s="17" t="str">
        <x:v>盘点</x:v>
      </x:c>
      <x:c r="D44" s="17"/>
      <x:c r="E44" s="17"/>
      <x:c r="F44" s="17" t="str">
        <x:f>IF(OR(D44="",E44=""),"",E44-D44)</x:f>
      </x:c>
      <x:c r="G44" s="17"/>
      <x:c r="H44" s="17" t="str"/>
      <x:c r="I44" s="17" t="str"/>
      <x:c r="J44" s="17" t="str"/>
      <x:c r="K44" s="17" t="str"/>
    </x:row>
    <x:row r="45">
      <x:c r="A45" s="16"/>
      <x:c r="B45" s="17" t="str"/>
      <x:c r="C45" s="17" t="str">
        <x:v>盘点</x:v>
      </x:c>
      <x:c r="D45" s="17"/>
      <x:c r="E45" s="17"/>
      <x:c r="F45" s="17" t="str">
        <x:f>IF(OR(D45="",E45=""),"",E45-D45)</x:f>
      </x:c>
      <x:c r="G45" s="17"/>
      <x:c r="H45" s="17" t="str"/>
      <x:c r="I45" s="17" t="str"/>
      <x:c r="J45" s="17" t="str"/>
      <x:c r="K45" s="17" t="str"/>
    </x:row>
    <x:row r="46">
      <x:c r="A46" s="16"/>
      <x:c r="B46" s="17" t="str"/>
      <x:c r="C46" s="17" t="str">
        <x:v>盘点</x:v>
      </x:c>
      <x:c r="D46" s="17"/>
      <x:c r="E46" s="17"/>
      <x:c r="F46" s="17" t="str">
        <x:f>IF(OR(D46="",E46=""),"",E46-D46)</x:f>
      </x:c>
      <x:c r="G46" s="17"/>
      <x:c r="H46" s="17" t="str"/>
      <x:c r="I46" s="17" t="str"/>
      <x:c r="J46" s="17" t="str"/>
      <x:c r="K46" s="17" t="str"/>
    </x:row>
    <x:row r="47">
      <x:c r="A47" s="16"/>
      <x:c r="B47" s="17" t="str"/>
      <x:c r="C47" s="17" t="str">
        <x:v>盘点</x:v>
      </x:c>
      <x:c r="D47" s="17"/>
      <x:c r="E47" s="17"/>
      <x:c r="F47" s="17" t="str">
        <x:f>IF(OR(D47="",E47=""),"",E47-D47)</x:f>
      </x:c>
      <x:c r="G47" s="17"/>
      <x:c r="H47" s="17" t="str"/>
      <x:c r="I47" s="17" t="str"/>
      <x:c r="J47" s="17" t="str"/>
      <x:c r="K47" s="17" t="str"/>
    </x:row>
    <x:row r="48">
      <x:c r="A48" s="16"/>
      <x:c r="B48" s="17" t="str"/>
      <x:c r="C48" s="17" t="str">
        <x:v>盘点</x:v>
      </x:c>
      <x:c r="D48" s="17"/>
      <x:c r="E48" s="17"/>
      <x:c r="F48" s="17" t="str">
        <x:f>IF(OR(D48="",E48=""),"",E48-D48)</x:f>
      </x:c>
      <x:c r="G48" s="17"/>
      <x:c r="H48" s="17" t="str"/>
      <x:c r="I48" s="17" t="str"/>
      <x:c r="J48" s="17" t="str"/>
      <x:c r="K48" s="17" t="str"/>
    </x:row>
    <x:row r="49">
      <x:c r="A49" s="16"/>
      <x:c r="B49" s="17" t="str"/>
      <x:c r="C49" s="17" t="str">
        <x:v>盘点</x:v>
      </x:c>
      <x:c r="D49" s="17"/>
      <x:c r="E49" s="17"/>
      <x:c r="F49" s="17" t="str">
        <x:f>IF(OR(D49="",E49=""),"",E49-D49)</x:f>
      </x:c>
      <x:c r="G49" s="17"/>
      <x:c r="H49" s="17" t="str"/>
      <x:c r="I49" s="17" t="str"/>
      <x:c r="J49" s="17" t="str"/>
      <x:c r="K49" s="17" t="str"/>
    </x:row>
    <x:row r="50">
      <x:c r="A50" s="16"/>
      <x:c r="B50" s="17" t="str"/>
      <x:c r="C50" s="17" t="str">
        <x:v>盘点</x:v>
      </x:c>
      <x:c r="D50" s="17"/>
      <x:c r="E50" s="17"/>
      <x:c r="F50" s="17" t="str">
        <x:f>IF(OR(D50="",E50=""),"",E50-D50)</x:f>
      </x:c>
      <x:c r="G50" s="17"/>
      <x:c r="H50" s="17" t="str"/>
      <x:c r="I50" s="17" t="str"/>
      <x:c r="J50" s="17" t="str"/>
      <x:c r="K50" s="17" t="str"/>
    </x:row>
    <x:row r="51">
      <x:c r="A51" s="16"/>
      <x:c r="B51" s="17" t="str"/>
      <x:c r="C51" s="17" t="str">
        <x:v>盘点</x:v>
      </x:c>
      <x:c r="D51" s="17"/>
      <x:c r="E51" s="17"/>
      <x:c r="F51" s="17" t="str">
        <x:f>IF(OR(D51="",E51=""),"",E51-D51)</x:f>
      </x:c>
      <x:c r="G51" s="17"/>
      <x:c r="H51" s="17" t="str"/>
      <x:c r="I51" s="17" t="str"/>
      <x:c r="J51" s="17" t="str"/>
      <x:c r="K51" s="17" t="str"/>
    </x:row>
    <x:row r="52">
      <x:c r="A52" s="16"/>
      <x:c r="B52" s="17" t="str"/>
      <x:c r="C52" s="17" t="str">
        <x:v>盘点</x:v>
      </x:c>
      <x:c r="D52" s="17"/>
      <x:c r="E52" s="17"/>
      <x:c r="F52" s="17" t="str">
        <x:f>IF(OR(D52="",E52=""),"",E52-D52)</x:f>
      </x:c>
      <x:c r="G52" s="17"/>
      <x:c r="H52" s="17" t="str"/>
      <x:c r="I52" s="17" t="str"/>
      <x:c r="J52" s="17" t="str"/>
      <x:c r="K52" s="17" t="str"/>
    </x:row>
    <x:row r="53">
      <x:c r="A53" s="16"/>
      <x:c r="B53" s="17" t="str"/>
      <x:c r="C53" s="17" t="str">
        <x:v>盘点</x:v>
      </x:c>
      <x:c r="D53" s="17"/>
      <x:c r="E53" s="17"/>
      <x:c r="F53" s="17" t="str">
        <x:f>IF(OR(D53="",E53=""),"",E53-D53)</x:f>
      </x:c>
      <x:c r="G53" s="17"/>
      <x:c r="H53" s="17" t="str"/>
      <x:c r="I53" s="17" t="str"/>
      <x:c r="J53" s="17" t="str"/>
      <x:c r="K53" s="17" t="str"/>
    </x:row>
    <x:row r="54">
      <x:c r="A54" s="16"/>
      <x:c r="B54" s="17" t="str"/>
      <x:c r="C54" s="17" t="str">
        <x:v>盘点</x:v>
      </x:c>
      <x:c r="D54" s="17"/>
      <x:c r="E54" s="17"/>
      <x:c r="F54" s="17" t="str">
        <x:f>IF(OR(D54="",E54=""),"",E54-D54)</x:f>
      </x:c>
      <x:c r="G54" s="17"/>
      <x:c r="H54" s="17" t="str"/>
      <x:c r="I54" s="17" t="str"/>
      <x:c r="J54" s="17" t="str"/>
      <x:c r="K54" s="17" t="str"/>
    </x:row>
    <x:row r="55">
      <x:c r="A55" s="16"/>
      <x:c r="B55" s="17" t="str"/>
      <x:c r="C55" s="17" t="str">
        <x:v>盘点</x:v>
      </x:c>
      <x:c r="D55" s="17"/>
      <x:c r="E55" s="17"/>
      <x:c r="F55" s="17" t="str">
        <x:f>IF(OR(D55="",E55=""),"",E55-D55)</x:f>
      </x:c>
      <x:c r="G55" s="17"/>
      <x:c r="H55" s="17" t="str"/>
      <x:c r="I55" s="17" t="str"/>
      <x:c r="J55" s="17" t="str"/>
      <x:c r="K55" s="17" t="str"/>
    </x:row>
    <x:row r="56">
      <x:c r="A56" s="16"/>
      <x:c r="B56" s="17" t="str"/>
      <x:c r="C56" s="17" t="str">
        <x:v>盘点</x:v>
      </x:c>
      <x:c r="D56" s="17"/>
      <x:c r="E56" s="17"/>
      <x:c r="F56" s="17" t="str">
        <x:f>IF(OR(D56="",E56=""),"",E56-D56)</x:f>
      </x:c>
      <x:c r="G56" s="17"/>
      <x:c r="H56" s="17" t="str"/>
      <x:c r="I56" s="17" t="str"/>
      <x:c r="J56" s="17" t="str"/>
      <x:c r="K56" s="17" t="str"/>
    </x:row>
    <x:row r="57">
      <x:c r="A57" s="16"/>
      <x:c r="B57" s="17" t="str"/>
      <x:c r="C57" s="17" t="str">
        <x:v>盘点</x:v>
      </x:c>
      <x:c r="D57" s="17"/>
      <x:c r="E57" s="17"/>
      <x:c r="F57" s="17" t="str">
        <x:f>IF(OR(D57="",E57=""),"",E57-D57)</x:f>
      </x:c>
      <x:c r="G57" s="17"/>
      <x:c r="H57" s="17" t="str"/>
      <x:c r="I57" s="17" t="str"/>
      <x:c r="J57" s="17" t="str"/>
      <x:c r="K57" s="17" t="str"/>
    </x:row>
    <x:row r="58">
      <x:c r="A58" s="16"/>
      <x:c r="B58" s="17" t="str"/>
      <x:c r="C58" s="17" t="str">
        <x:v>盘点</x:v>
      </x:c>
      <x:c r="D58" s="17"/>
      <x:c r="E58" s="17"/>
      <x:c r="F58" s="17" t="str">
        <x:f>IF(OR(D58="",E58=""),"",E58-D58)</x:f>
      </x:c>
      <x:c r="G58" s="17"/>
      <x:c r="H58" s="17" t="str"/>
      <x:c r="I58" s="17" t="str"/>
      <x:c r="J58" s="17" t="str"/>
      <x:c r="K58" s="17" t="str"/>
    </x:row>
    <x:row r="59">
      <x:c r="A59" s="16"/>
      <x:c r="B59" s="17" t="str"/>
      <x:c r="C59" s="17" t="str">
        <x:v>盘点</x:v>
      </x:c>
      <x:c r="D59" s="17"/>
      <x:c r="E59" s="17"/>
      <x:c r="F59" s="17" t="str">
        <x:f>IF(OR(D59="",E59=""),"",E59-D59)</x:f>
      </x:c>
      <x:c r="G59" s="17"/>
      <x:c r="H59" s="17" t="str"/>
      <x:c r="I59" s="17" t="str"/>
      <x:c r="J59" s="17" t="str"/>
      <x:c r="K59" s="17" t="str"/>
    </x:row>
    <x:row r="60">
      <x:c r="A60" s="16"/>
      <x:c r="B60" s="17" t="str"/>
      <x:c r="C60" s="17" t="str">
        <x:v>盘点</x:v>
      </x:c>
      <x:c r="D60" s="17"/>
      <x:c r="E60" s="17"/>
      <x:c r="F60" s="17" t="str">
        <x:f>IF(OR(D60="",E60=""),"",E60-D60)</x:f>
      </x:c>
      <x:c r="G60" s="17"/>
      <x:c r="H60" s="17" t="str"/>
      <x:c r="I60" s="17" t="str"/>
      <x:c r="J60" s="17" t="str"/>
      <x:c r="K60" s="17" t="str"/>
    </x:row>
    <x:row r="61">
      <x:c r="A61" s="16"/>
      <x:c r="B61" s="17" t="str"/>
      <x:c r="C61" s="17" t="str">
        <x:v>盘点</x:v>
      </x:c>
      <x:c r="D61" s="17"/>
      <x:c r="E61" s="17"/>
      <x:c r="F61" s="17" t="str">
        <x:f>IF(OR(D61="",E61=""),"",E61-D61)</x:f>
      </x:c>
      <x:c r="G61" s="17"/>
      <x:c r="H61" s="17" t="str"/>
      <x:c r="I61" s="17" t="str"/>
      <x:c r="J61" s="17" t="str"/>
      <x:c r="K61" s="17" t="str"/>
    </x:row>
    <x:row r="62">
      <x:c r="A62" s="16"/>
      <x:c r="B62" s="17" t="str"/>
      <x:c r="C62" s="17" t="str">
        <x:v>盘点</x:v>
      </x:c>
      <x:c r="D62" s="17"/>
      <x:c r="E62" s="17"/>
      <x:c r="F62" s="17" t="str">
        <x:f>IF(OR(D62="",E62=""),"",E62-D62)</x:f>
      </x:c>
      <x:c r="G62" s="17"/>
      <x:c r="H62" s="17" t="str"/>
      <x:c r="I62" s="17" t="str"/>
      <x:c r="J62" s="17" t="str"/>
      <x:c r="K62" s="17" t="str"/>
    </x:row>
    <x:row r="63">
      <x:c r="A63" s="16"/>
      <x:c r="B63" s="17" t="str"/>
      <x:c r="C63" s="17" t="str">
        <x:v>盘点</x:v>
      </x:c>
      <x:c r="D63" s="17"/>
      <x:c r="E63" s="17"/>
      <x:c r="F63" s="17" t="str">
        <x:f>IF(OR(D63="",E63=""),"",E63-D63)</x:f>
      </x:c>
      <x:c r="G63" s="17"/>
      <x:c r="H63" s="17" t="str"/>
      <x:c r="I63" s="17" t="str"/>
      <x:c r="J63" s="17" t="str"/>
      <x:c r="K63" s="17" t="str"/>
    </x:row>
    <x:row r="64">
      <x:c r="A64" s="16"/>
      <x:c r="B64" s="17" t="str"/>
      <x:c r="C64" s="17" t="str">
        <x:v>盘点</x:v>
      </x:c>
      <x:c r="D64" s="17"/>
      <x:c r="E64" s="17"/>
      <x:c r="F64" s="17" t="str">
        <x:f>IF(OR(D64="",E64=""),"",E64-D64)</x:f>
      </x:c>
      <x:c r="G64" s="17"/>
      <x:c r="H64" s="17" t="str"/>
      <x:c r="I64" s="17" t="str"/>
      <x:c r="J64" s="17" t="str"/>
      <x:c r="K64" s="17" t="str"/>
    </x:row>
    <x:row r="65">
      <x:c r="A65" s="16"/>
      <x:c r="B65" s="17" t="str"/>
      <x:c r="C65" s="17" t="str">
        <x:v>盘点</x:v>
      </x:c>
      <x:c r="D65" s="17"/>
      <x:c r="E65" s="17"/>
      <x:c r="F65" s="17" t="str">
        <x:f>IF(OR(D65="",E65=""),"",E65-D65)</x:f>
      </x:c>
      <x:c r="G65" s="17"/>
      <x:c r="H65" s="17" t="str"/>
      <x:c r="I65" s="17" t="str"/>
      <x:c r="J65" s="17" t="str"/>
      <x:c r="K65" s="17" t="str"/>
    </x:row>
    <x:row r="66">
      <x:c r="A66" s="16"/>
      <x:c r="B66" s="17" t="str"/>
      <x:c r="C66" s="17" t="str">
        <x:v>盘点</x:v>
      </x:c>
      <x:c r="D66" s="17"/>
      <x:c r="E66" s="17"/>
      <x:c r="F66" s="17" t="str">
        <x:f>IF(OR(D66="",E66=""),"",E66-D66)</x:f>
      </x:c>
      <x:c r="G66" s="17"/>
      <x:c r="H66" s="17" t="str"/>
      <x:c r="I66" s="17" t="str"/>
      <x:c r="J66" s="17" t="str"/>
      <x:c r="K66" s="17" t="str"/>
    </x:row>
    <x:row r="67">
      <x:c r="A67" s="16"/>
      <x:c r="B67" s="17" t="str"/>
      <x:c r="C67" s="17" t="str">
        <x:v>盘点</x:v>
      </x:c>
      <x:c r="D67" s="17"/>
      <x:c r="E67" s="17"/>
      <x:c r="F67" s="17" t="str">
        <x:f>IF(OR(D67="",E67=""),"",E67-D67)</x:f>
      </x:c>
      <x:c r="G67" s="17"/>
      <x:c r="H67" s="17" t="str"/>
      <x:c r="I67" s="17" t="str"/>
      <x:c r="J67" s="17" t="str"/>
      <x:c r="K67" s="17" t="str"/>
    </x:row>
    <x:row r="68">
      <x:c r="A68" s="16"/>
      <x:c r="B68" s="17" t="str"/>
      <x:c r="C68" s="17" t="str">
        <x:v>盘点</x:v>
      </x:c>
      <x:c r="D68" s="17"/>
      <x:c r="E68" s="17"/>
      <x:c r="F68" s="17" t="str">
        <x:f>IF(OR(D68="",E68=""),"",E68-D68)</x:f>
      </x:c>
      <x:c r="G68" s="17"/>
      <x:c r="H68" s="17" t="str"/>
      <x:c r="I68" s="17" t="str"/>
      <x:c r="J68" s="17" t="str"/>
      <x:c r="K68" s="17" t="str"/>
    </x:row>
    <x:row r="69">
      <x:c r="A69" s="16"/>
      <x:c r="B69" s="17" t="str"/>
      <x:c r="C69" s="17" t="str">
        <x:v>盘点</x:v>
      </x:c>
      <x:c r="D69" s="17"/>
      <x:c r="E69" s="17"/>
      <x:c r="F69" s="17" t="str">
        <x:f>IF(OR(D69="",E69=""),"",E69-D69)</x:f>
      </x:c>
      <x:c r="G69" s="17"/>
      <x:c r="H69" s="17" t="str"/>
      <x:c r="I69" s="17" t="str"/>
      <x:c r="J69" s="17" t="str"/>
      <x:c r="K69" s="17" t="str"/>
    </x:row>
    <x:row r="70">
      <x:c r="A70" s="16"/>
      <x:c r="B70" s="17" t="str"/>
      <x:c r="C70" s="17" t="str">
        <x:v>盘点</x:v>
      </x:c>
      <x:c r="D70" s="17"/>
      <x:c r="E70" s="17"/>
      <x:c r="F70" s="17" t="str">
        <x:f>IF(OR(D70="",E70=""),"",E70-D70)</x:f>
      </x:c>
      <x:c r="G70" s="17"/>
      <x:c r="H70" s="17" t="str"/>
      <x:c r="I70" s="17" t="str"/>
      <x:c r="J70" s="17" t="str"/>
      <x:c r="K70" s="17" t="str"/>
    </x:row>
    <x:row r="71">
      <x:c r="A71" s="16"/>
      <x:c r="B71" s="17" t="str"/>
      <x:c r="C71" s="17" t="str">
        <x:v>盘点</x:v>
      </x:c>
      <x:c r="D71" s="17"/>
      <x:c r="E71" s="17"/>
      <x:c r="F71" s="17" t="str">
        <x:f>IF(OR(D71="",E71=""),"",E71-D71)</x:f>
      </x:c>
      <x:c r="G71" s="17"/>
      <x:c r="H71" s="17" t="str"/>
      <x:c r="I71" s="17" t="str"/>
      <x:c r="J71" s="17" t="str"/>
      <x:c r="K71" s="17" t="str"/>
    </x:row>
    <x:row r="72">
      <x:c r="A72" s="16"/>
      <x:c r="B72" s="17" t="str"/>
      <x:c r="C72" s="17" t="str">
        <x:v>盘点</x:v>
      </x:c>
      <x:c r="D72" s="17"/>
      <x:c r="E72" s="17"/>
      <x:c r="F72" s="17" t="str">
        <x:f>IF(OR(D72="",E72=""),"",E72-D72)</x:f>
      </x:c>
      <x:c r="G72" s="17"/>
      <x:c r="H72" s="17" t="str"/>
      <x:c r="I72" s="17" t="str"/>
      <x:c r="J72" s="17" t="str"/>
      <x:c r="K72" s="17" t="str"/>
    </x:row>
    <x:row r="73">
      <x:c r="A73" s="16"/>
      <x:c r="B73" s="17" t="str"/>
      <x:c r="C73" s="17" t="str">
        <x:v>盘点</x:v>
      </x:c>
      <x:c r="D73" s="17"/>
      <x:c r="E73" s="17"/>
      <x:c r="F73" s="17" t="str">
        <x:f>IF(OR(D73="",E73=""),"",E73-D73)</x:f>
      </x:c>
      <x:c r="G73" s="17"/>
      <x:c r="H73" s="17" t="str"/>
      <x:c r="I73" s="17" t="str"/>
      <x:c r="J73" s="17" t="str"/>
      <x:c r="K73" s="17" t="str"/>
    </x:row>
    <x:row r="74">
      <x:c r="A74" s="16"/>
      <x:c r="B74" s="17" t="str"/>
      <x:c r="C74" s="17" t="str">
        <x:v>盘点</x:v>
      </x:c>
      <x:c r="D74" s="17"/>
      <x:c r="E74" s="17"/>
      <x:c r="F74" s="17" t="str">
        <x:f>IF(OR(D74="",E74=""),"",E74-D74)</x:f>
      </x:c>
      <x:c r="G74" s="17"/>
      <x:c r="H74" s="17" t="str"/>
      <x:c r="I74" s="17" t="str"/>
      <x:c r="J74" s="17" t="str"/>
      <x:c r="K74" s="17" t="str"/>
    </x:row>
    <x:row r="75">
      <x:c r="A75" s="16"/>
      <x:c r="B75" s="17" t="str"/>
      <x:c r="C75" s="17" t="str">
        <x:v>盘点</x:v>
      </x:c>
      <x:c r="D75" s="17"/>
      <x:c r="E75" s="17"/>
      <x:c r="F75" s="17" t="str">
        <x:f>IF(OR(D75="",E75=""),"",E75-D75)</x:f>
      </x:c>
      <x:c r="G75" s="17"/>
      <x:c r="H75" s="17" t="str"/>
      <x:c r="I75" s="17" t="str"/>
      <x:c r="J75" s="17" t="str"/>
      <x:c r="K75" s="17" t="str"/>
    </x:row>
    <x:row r="76">
      <x:c r="A76" s="16"/>
      <x:c r="B76" s="17" t="str"/>
      <x:c r="C76" s="17" t="str">
        <x:v>盘点</x:v>
      </x:c>
      <x:c r="D76" s="17"/>
      <x:c r="E76" s="17"/>
      <x:c r="F76" s="17" t="str">
        <x:f>IF(OR(D76="",E76=""),"",E76-D76)</x:f>
      </x:c>
      <x:c r="G76" s="17"/>
      <x:c r="H76" s="17" t="str"/>
      <x:c r="I76" s="17" t="str"/>
      <x:c r="J76" s="17" t="str"/>
      <x:c r="K76" s="17" t="str"/>
    </x:row>
    <x:row r="77">
      <x:c r="A77" s="16"/>
      <x:c r="B77" s="17" t="str"/>
      <x:c r="C77" s="17" t="str">
        <x:v>盘点</x:v>
      </x:c>
      <x:c r="D77" s="17"/>
      <x:c r="E77" s="17"/>
      <x:c r="F77" s="17" t="str">
        <x:f>IF(OR(D77="",E77=""),"",E77-D77)</x:f>
      </x:c>
      <x:c r="G77" s="17"/>
      <x:c r="H77" s="17" t="str"/>
      <x:c r="I77" s="17" t="str"/>
      <x:c r="J77" s="17" t="str"/>
      <x:c r="K77" s="17" t="str"/>
    </x:row>
    <x:row r="78">
      <x:c r="A78" s="16"/>
      <x:c r="B78" s="17" t="str"/>
      <x:c r="C78" s="17" t="str">
        <x:v>盘点</x:v>
      </x:c>
      <x:c r="D78" s="17"/>
      <x:c r="E78" s="17"/>
      <x:c r="F78" s="17" t="str">
        <x:f>IF(OR(D78="",E78=""),"",E78-D78)</x:f>
      </x:c>
      <x:c r="G78" s="17"/>
      <x:c r="H78" s="17" t="str"/>
      <x:c r="I78" s="17" t="str"/>
      <x:c r="J78" s="17" t="str"/>
      <x:c r="K78" s="17" t="str"/>
    </x:row>
    <x:row r="79">
      <x:c r="A79" s="16"/>
      <x:c r="B79" s="17" t="str"/>
      <x:c r="C79" s="17" t="str">
        <x:v>盘点</x:v>
      </x:c>
      <x:c r="D79" s="17"/>
      <x:c r="E79" s="17"/>
      <x:c r="F79" s="17" t="str">
        <x:f>IF(OR(D79="",E79=""),"",E79-D79)</x:f>
      </x:c>
      <x:c r="G79" s="17"/>
      <x:c r="H79" s="17" t="str"/>
      <x:c r="I79" s="17" t="str"/>
      <x:c r="J79" s="17" t="str"/>
      <x:c r="K79" s="17" t="str"/>
    </x:row>
    <x:row r="80">
      <x:c r="A80" s="16"/>
      <x:c r="B80" s="17" t="str"/>
      <x:c r="C80" s="17" t="str">
        <x:v>盘点</x:v>
      </x:c>
      <x:c r="D80" s="17"/>
      <x:c r="E80" s="17"/>
      <x:c r="F80" s="17" t="str">
        <x:f>IF(OR(D80="",E80=""),"",E80-D80)</x:f>
      </x:c>
      <x:c r="G80" s="17"/>
      <x:c r="H80" s="17" t="str"/>
      <x:c r="I80" s="17" t="str"/>
      <x:c r="J80" s="17" t="str"/>
      <x:c r="K80" s="17" t="str"/>
    </x:row>
    <x:row r="81">
      <x:c r="A81" s="16"/>
      <x:c r="B81" s="17" t="str"/>
      <x:c r="C81" s="17" t="str">
        <x:v>盘点</x:v>
      </x:c>
      <x:c r="D81" s="17"/>
      <x:c r="E81" s="17"/>
      <x:c r="F81" s="17" t="str">
        <x:f>IF(OR(D81="",E81=""),"",E81-D81)</x:f>
      </x:c>
      <x:c r="G81" s="17"/>
      <x:c r="H81" s="17" t="str"/>
      <x:c r="I81" s="17" t="str"/>
      <x:c r="J81" s="17" t="str"/>
      <x:c r="K81" s="17" t="str"/>
    </x:row>
    <x:row r="82">
      <x:c r="A82" s="16"/>
      <x:c r="B82" s="17" t="str"/>
      <x:c r="C82" s="17" t="str">
        <x:v>盘点</x:v>
      </x:c>
      <x:c r="D82" s="17"/>
      <x:c r="E82" s="17"/>
      <x:c r="F82" s="17" t="str">
        <x:f>IF(OR(D82="",E82=""),"",E82-D82)</x:f>
      </x:c>
      <x:c r="G82" s="17"/>
      <x:c r="H82" s="17" t="str"/>
      <x:c r="I82" s="17" t="str"/>
      <x:c r="J82" s="17" t="str"/>
      <x:c r="K82" s="17" t="str"/>
    </x:row>
    <x:row r="83">
      <x:c r="A83" s="16"/>
      <x:c r="B83" s="17" t="str"/>
      <x:c r="C83" s="17" t="str">
        <x:v>盘点</x:v>
      </x:c>
      <x:c r="D83" s="17"/>
      <x:c r="E83" s="17"/>
      <x:c r="F83" s="17" t="str">
        <x:f>IF(OR(D83="",E83=""),"",E83-D83)</x:f>
      </x:c>
      <x:c r="G83" s="17"/>
      <x:c r="H83" s="17" t="str"/>
      <x:c r="I83" s="17" t="str"/>
      <x:c r="J83" s="17" t="str"/>
      <x:c r="K83" s="17" t="str"/>
    </x:row>
    <x:row r="84">
      <x:c r="A84" s="16"/>
      <x:c r="B84" s="17" t="str"/>
      <x:c r="C84" s="17" t="str">
        <x:v>盘点</x:v>
      </x:c>
      <x:c r="D84" s="17"/>
      <x:c r="E84" s="17"/>
      <x:c r="F84" s="17" t="str">
        <x:f>IF(OR(D84="",E84=""),"",E84-D84)</x:f>
      </x:c>
      <x:c r="G84" s="17"/>
      <x:c r="H84" s="17" t="str"/>
      <x:c r="I84" s="17" t="str"/>
      <x:c r="J84" s="17" t="str"/>
      <x:c r="K84" s="17" t="str"/>
    </x:row>
    <x:row r="85">
      <x:c r="A85" s="16"/>
      <x:c r="B85" s="17" t="str"/>
      <x:c r="C85" s="17" t="str">
        <x:v>盘点</x:v>
      </x:c>
      <x:c r="D85" s="17"/>
      <x:c r="E85" s="17"/>
      <x:c r="F85" s="17" t="str">
        <x:f>IF(OR(D85="",E85=""),"",E85-D85)</x:f>
      </x:c>
      <x:c r="G85" s="17"/>
      <x:c r="H85" s="17" t="str"/>
      <x:c r="I85" s="17" t="str"/>
      <x:c r="J85" s="17" t="str"/>
      <x:c r="K85" s="17" t="str"/>
    </x:row>
    <x:row r="86">
      <x:c r="A86" s="16"/>
      <x:c r="B86" s="17" t="str"/>
      <x:c r="C86" s="17" t="str">
        <x:v>盘点</x:v>
      </x:c>
      <x:c r="D86" s="17"/>
      <x:c r="E86" s="17"/>
      <x:c r="F86" s="17" t="str">
        <x:f>IF(OR(D86="",E86=""),"",E86-D86)</x:f>
      </x:c>
      <x:c r="G86" s="17"/>
      <x:c r="H86" s="17" t="str"/>
      <x:c r="I86" s="17" t="str"/>
      <x:c r="J86" s="17" t="str"/>
      <x:c r="K86" s="17" t="str"/>
    </x:row>
    <x:row r="87">
      <x:c r="A87" s="16"/>
      <x:c r="B87" s="17" t="str"/>
      <x:c r="C87" s="17" t="str">
        <x:v>盘点</x:v>
      </x:c>
      <x:c r="D87" s="17"/>
      <x:c r="E87" s="17"/>
      <x:c r="F87" s="17" t="str">
        <x:f>IF(OR(D87="",E87=""),"",E87-D87)</x:f>
      </x:c>
      <x:c r="G87" s="17"/>
      <x:c r="H87" s="17" t="str"/>
      <x:c r="I87" s="17" t="str"/>
      <x:c r="J87" s="17" t="str"/>
      <x:c r="K87" s="17" t="str"/>
    </x:row>
    <x:row r="88">
      <x:c r="A88" s="16"/>
      <x:c r="B88" s="17" t="str"/>
      <x:c r="C88" s="17" t="str">
        <x:v>盘点</x:v>
      </x:c>
      <x:c r="D88" s="17"/>
      <x:c r="E88" s="17"/>
      <x:c r="F88" s="17" t="str">
        <x:f>IF(OR(D88="",E88=""),"",E88-D88)</x:f>
      </x:c>
      <x:c r="G88" s="17"/>
      <x:c r="H88" s="17" t="str"/>
      <x:c r="I88" s="17" t="str"/>
      <x:c r="J88" s="17" t="str"/>
      <x:c r="K88" s="17" t="str"/>
    </x:row>
    <x:row r="89">
      <x:c r="A89" s="16"/>
      <x:c r="B89" s="17" t="str"/>
      <x:c r="C89" s="17" t="str">
        <x:v>盘点</x:v>
      </x:c>
      <x:c r="D89" s="17"/>
      <x:c r="E89" s="17"/>
      <x:c r="F89" s="17" t="str">
        <x:f>IF(OR(D89="",E89=""),"",E89-D89)</x:f>
      </x:c>
      <x:c r="G89" s="17"/>
      <x:c r="H89" s="17" t="str"/>
      <x:c r="I89" s="17" t="str"/>
      <x:c r="J89" s="17" t="str"/>
      <x:c r="K89" s="17" t="str"/>
    </x:row>
    <x:row r="90">
      <x:c r="A90" s="16"/>
      <x:c r="B90" s="17" t="str"/>
      <x:c r="C90" s="17" t="str">
        <x:v>盘点</x:v>
      </x:c>
      <x:c r="D90" s="17"/>
      <x:c r="E90" s="17"/>
      <x:c r="F90" s="17" t="str">
        <x:f>IF(OR(D90="",E90=""),"",E90-D90)</x:f>
      </x:c>
      <x:c r="G90" s="17"/>
      <x:c r="H90" s="17" t="str"/>
      <x:c r="I90" s="17" t="str"/>
      <x:c r="J90" s="17" t="str"/>
      <x:c r="K90" s="17" t="str"/>
    </x:row>
    <x:row r="91">
      <x:c r="A91" s="16"/>
      <x:c r="B91" s="17" t="str"/>
      <x:c r="C91" s="17" t="str">
        <x:v>盘点</x:v>
      </x:c>
      <x:c r="D91" s="17"/>
      <x:c r="E91" s="17"/>
      <x:c r="F91" s="17" t="str">
        <x:f>IF(OR(D91="",E91=""),"",E91-D91)</x:f>
      </x:c>
      <x:c r="G91" s="17"/>
      <x:c r="H91" s="17" t="str"/>
      <x:c r="I91" s="17" t="str"/>
      <x:c r="J91" s="17" t="str"/>
      <x:c r="K91" s="17" t="str"/>
    </x:row>
    <x:row r="92">
      <x:c r="A92" s="16"/>
      <x:c r="B92" s="17" t="str"/>
      <x:c r="C92" s="17" t="str">
        <x:v>盘点</x:v>
      </x:c>
      <x:c r="D92" s="17"/>
      <x:c r="E92" s="17"/>
      <x:c r="F92" s="17" t="str">
        <x:f>IF(OR(D92="",E92=""),"",E92-D92)</x:f>
      </x:c>
      <x:c r="G92" s="17"/>
      <x:c r="H92" s="17" t="str"/>
      <x:c r="I92" s="17" t="str"/>
      <x:c r="J92" s="17" t="str"/>
      <x:c r="K92" s="17" t="str"/>
    </x:row>
    <x:row r="93">
      <x:c r="A93" s="16"/>
      <x:c r="B93" s="17" t="str"/>
      <x:c r="C93" s="17" t="str">
        <x:v>盘点</x:v>
      </x:c>
      <x:c r="D93" s="17"/>
      <x:c r="E93" s="17"/>
      <x:c r="F93" s="17" t="str">
        <x:f>IF(OR(D93="",E93=""),"",E93-D93)</x:f>
      </x:c>
      <x:c r="G93" s="17"/>
      <x:c r="H93" s="17" t="str"/>
      <x:c r="I93" s="17" t="str"/>
      <x:c r="J93" s="17" t="str"/>
      <x:c r="K93" s="17" t="str"/>
    </x:row>
    <x:row r="94">
      <x:c r="A94" s="16"/>
      <x:c r="B94" s="17" t="str"/>
      <x:c r="C94" s="17" t="str">
        <x:v>盘点</x:v>
      </x:c>
      <x:c r="D94" s="17"/>
      <x:c r="E94" s="17"/>
      <x:c r="F94" s="17" t="str">
        <x:f>IF(OR(D94="",E94=""),"",E94-D94)</x:f>
      </x:c>
      <x:c r="G94" s="17"/>
      <x:c r="H94" s="17" t="str"/>
      <x:c r="I94" s="17" t="str"/>
      <x:c r="J94" s="17" t="str"/>
      <x:c r="K94" s="17" t="str"/>
    </x:row>
    <x:row r="95">
      <x:c r="A95" s="16"/>
      <x:c r="B95" s="17" t="str"/>
      <x:c r="C95" s="17" t="str">
        <x:v>盘点</x:v>
      </x:c>
      <x:c r="D95" s="17"/>
      <x:c r="E95" s="17"/>
      <x:c r="F95" s="17" t="str">
        <x:f>IF(OR(D95="",E95=""),"",E95-D95)</x:f>
      </x:c>
      <x:c r="G95" s="17"/>
      <x:c r="H95" s="17" t="str"/>
      <x:c r="I95" s="17" t="str"/>
      <x:c r="J95" s="17" t="str"/>
      <x:c r="K95" s="17" t="str"/>
    </x:row>
    <x:row r="96">
      <x:c r="A96" s="16"/>
      <x:c r="B96" s="17" t="str"/>
      <x:c r="C96" s="17" t="str">
        <x:v>盘点</x:v>
      </x:c>
      <x:c r="D96" s="17"/>
      <x:c r="E96" s="17"/>
      <x:c r="F96" s="17" t="str">
        <x:f>IF(OR(D96="",E96=""),"",E96-D96)</x:f>
      </x:c>
      <x:c r="G96" s="17"/>
      <x:c r="H96" s="17" t="str"/>
      <x:c r="I96" s="17" t="str"/>
      <x:c r="J96" s="17" t="str"/>
      <x:c r="K96" s="17" t="str"/>
    </x:row>
    <x:row r="97">
      <x:c r="A97" s="16"/>
      <x:c r="B97" s="17" t="str"/>
      <x:c r="C97" s="17" t="str">
        <x:v>盘点</x:v>
      </x:c>
      <x:c r="D97" s="17"/>
      <x:c r="E97" s="17"/>
      <x:c r="F97" s="17" t="str">
        <x:f>IF(OR(D97="",E97=""),"",E97-D97)</x:f>
      </x:c>
      <x:c r="G97" s="17"/>
      <x:c r="H97" s="17" t="str"/>
      <x:c r="I97" s="17" t="str"/>
      <x:c r="J97" s="17" t="str"/>
      <x:c r="K97" s="17" t="str"/>
    </x:row>
    <x:row r="98">
      <x:c r="A98" s="16"/>
      <x:c r="B98" s="17" t="str"/>
      <x:c r="C98" s="17" t="str">
        <x:v>盘点</x:v>
      </x:c>
      <x:c r="D98" s="17"/>
      <x:c r="E98" s="17"/>
      <x:c r="F98" s="17" t="str">
        <x:f>IF(OR(D98="",E98=""),"",E98-D98)</x:f>
      </x:c>
      <x:c r="G98" s="17"/>
      <x:c r="H98" s="17" t="str"/>
      <x:c r="I98" s="17" t="str"/>
      <x:c r="J98" s="17" t="str"/>
      <x:c r="K98" s="17" t="str"/>
    </x:row>
    <x:row r="99">
      <x:c r="A99" s="16"/>
      <x:c r="B99" s="17" t="str"/>
      <x:c r="C99" s="17" t="str">
        <x:v>盘点</x:v>
      </x:c>
      <x:c r="D99" s="17"/>
      <x:c r="E99" s="17"/>
      <x:c r="F99" s="17" t="str">
        <x:f>IF(OR(D99="",E99=""),"",E99-D99)</x:f>
      </x:c>
      <x:c r="G99" s="17"/>
      <x:c r="H99" s="17" t="str"/>
      <x:c r="I99" s="17" t="str"/>
      <x:c r="J99" s="17" t="str"/>
      <x:c r="K99" s="17" t="str"/>
    </x:row>
    <x:row r="100">
      <x:c r="A100" s="16"/>
      <x:c r="B100" s="17" t="str"/>
      <x:c r="C100" s="17" t="str">
        <x:v>盘点</x:v>
      </x:c>
      <x:c r="D100" s="17"/>
      <x:c r="E100" s="17"/>
      <x:c r="F100" s="17" t="str">
        <x:f>IF(OR(D100="",E100=""),"",E100-D100)</x:f>
      </x:c>
      <x:c r="G100" s="17"/>
      <x:c r="H100" s="17" t="str"/>
      <x:c r="I100" s="17" t="str"/>
      <x:c r="J100" s="17" t="str"/>
      <x:c r="K100" s="17" t="str"/>
    </x:row>
    <x:row r="101">
      <x:c r="A101" s="16"/>
      <x:c r="B101" s="17" t="str"/>
      <x:c r="C101" s="17" t="str">
        <x:v>盘点</x:v>
      </x:c>
      <x:c r="D101" s="17"/>
      <x:c r="E101" s="17"/>
      <x:c r="F101" s="17" t="str">
        <x:f>IF(OR(D101="",E101=""),"",E101-D101)</x:f>
      </x:c>
      <x:c r="G101" s="17"/>
      <x:c r="H101" s="17" t="str"/>
      <x:c r="I101" s="17" t="str"/>
      <x:c r="J101" s="17" t="str"/>
      <x:c r="K101" s="17" t="str"/>
    </x:row>
    <x:row r="102">
      <x:c r="A102" s="16"/>
      <x:c r="B102" s="17" t="str"/>
      <x:c r="C102" s="17" t="str">
        <x:v>盘点</x:v>
      </x:c>
      <x:c r="D102" s="17"/>
      <x:c r="E102" s="17"/>
      <x:c r="F102" s="17" t="str">
        <x:f>IF(OR(D102="",E102=""),"",E102-D102)</x:f>
      </x:c>
      <x:c r="G102" s="17"/>
      <x:c r="H102" s="17" t="str"/>
      <x:c r="I102" s="17" t="str"/>
      <x:c r="J102" s="17" t="str"/>
      <x:c r="K102" s="17" t="str"/>
    </x:row>
    <x:row r="103">
      <x:c r="A103" s="16"/>
      <x:c r="B103" s="17" t="str"/>
      <x:c r="C103" s="17" t="str">
        <x:v>盘点</x:v>
      </x:c>
      <x:c r="D103" s="17"/>
      <x:c r="E103" s="17"/>
      <x:c r="F103" s="17" t="str">
        <x:f>IF(OR(D103="",E103=""),"",E103-D103)</x:f>
      </x:c>
      <x:c r="G103" s="17"/>
      <x:c r="H103" s="17" t="str"/>
      <x:c r="I103" s="17" t="str"/>
      <x:c r="J103" s="17" t="str"/>
      <x:c r="K103" s="17" t="str"/>
    </x:row>
    <x:row r="104">
      <x:c r="A104" s="16"/>
      <x:c r="B104" s="17" t="str"/>
      <x:c r="C104" s="17" t="str">
        <x:v>盘点</x:v>
      </x:c>
      <x:c r="D104" s="17"/>
      <x:c r="E104" s="17"/>
      <x:c r="F104" s="17" t="str">
        <x:f>IF(OR(D104="",E104=""),"",E104-D104)</x:f>
      </x:c>
      <x:c r="G104" s="17"/>
      <x:c r="H104" s="17" t="str"/>
      <x:c r="I104" s="17" t="str"/>
      <x:c r="J104" s="17" t="str"/>
      <x:c r="K104" s="17" t="str"/>
    </x:row>
    <x:row r="105">
      <x:c r="A105" s="16"/>
      <x:c r="B105" s="17" t="str"/>
      <x:c r="C105" s="17" t="str">
        <x:v>盘点</x:v>
      </x:c>
      <x:c r="D105" s="17"/>
      <x:c r="E105" s="17"/>
      <x:c r="F105" s="17" t="str">
        <x:f>IF(OR(D105="",E105=""),"",E105-D105)</x:f>
      </x:c>
      <x:c r="G105" s="17"/>
      <x:c r="H105" s="17" t="str"/>
      <x:c r="I105" s="17" t="str"/>
      <x:c r="J105" s="17" t="str"/>
      <x:c r="K105" s="17" t="str"/>
    </x:row>
    <x:row r="106">
      <x:c r="A106" s="16"/>
      <x:c r="B106" s="17" t="str"/>
      <x:c r="C106" s="17" t="str">
        <x:v>盘点</x:v>
      </x:c>
      <x:c r="D106" s="17"/>
      <x:c r="E106" s="17"/>
      <x:c r="F106" s="17" t="str">
        <x:f>IF(OR(D106="",E106=""),"",E106-D106)</x:f>
      </x:c>
      <x:c r="G106" s="17"/>
      <x:c r="H106" s="17" t="str"/>
      <x:c r="I106" s="17" t="str"/>
      <x:c r="J106" s="17" t="str"/>
      <x:c r="K106" s="17" t="str"/>
    </x:row>
    <x:row r="107">
      <x:c r="A107" s="16"/>
      <x:c r="B107" s="17" t="str"/>
      <x:c r="C107" s="17" t="str">
        <x:v>盘点</x:v>
      </x:c>
      <x:c r="D107" s="17"/>
      <x:c r="E107" s="17"/>
      <x:c r="F107" s="17" t="str">
        <x:f>IF(OR(D107="",E107=""),"",E107-D107)</x:f>
      </x:c>
      <x:c r="G107" s="17"/>
      <x:c r="H107" s="17" t="str"/>
      <x:c r="I107" s="17" t="str"/>
      <x:c r="J107" s="17" t="str"/>
      <x:c r="K107" s="17" t="str"/>
    </x:row>
    <x:row r="108">
      <x:c r="A108" s="16"/>
      <x:c r="B108" s="17" t="str"/>
      <x:c r="C108" s="17" t="str">
        <x:v>盘点</x:v>
      </x:c>
      <x:c r="D108" s="17"/>
      <x:c r="E108" s="17"/>
      <x:c r="F108" s="17" t="str">
        <x:f>IF(OR(D108="",E108=""),"",E108-D108)</x:f>
      </x:c>
      <x:c r="G108" s="17"/>
      <x:c r="H108" s="17" t="str"/>
      <x:c r="I108" s="17" t="str"/>
      <x:c r="J108" s="17" t="str"/>
      <x:c r="K108" s="17" t="str"/>
    </x:row>
    <x:row r="109">
      <x:c r="A109" s="16"/>
      <x:c r="B109" s="17" t="str"/>
      <x:c r="C109" s="17" t="str">
        <x:v>盘点</x:v>
      </x:c>
      <x:c r="D109" s="17"/>
      <x:c r="E109" s="17"/>
      <x:c r="F109" s="17" t="str">
        <x:f>IF(OR(D109="",E109=""),"",E109-D109)</x:f>
      </x:c>
      <x:c r="G109" s="17"/>
      <x:c r="H109" s="17" t="str"/>
      <x:c r="I109" s="17" t="str"/>
      <x:c r="J109" s="17" t="str"/>
      <x:c r="K109" s="17" t="str"/>
    </x:row>
    <x:row r="110">
      <x:c r="A110" s="16"/>
      <x:c r="B110" s="17" t="str"/>
      <x:c r="C110" s="17" t="str">
        <x:v>盘点</x:v>
      </x:c>
      <x:c r="D110" s="17"/>
      <x:c r="E110" s="17"/>
      <x:c r="F110" s="17" t="str">
        <x:f>IF(OR(D110="",E110=""),"",E110-D110)</x:f>
      </x:c>
      <x:c r="G110" s="17"/>
      <x:c r="H110" s="17" t="str"/>
      <x:c r="I110" s="17" t="str"/>
      <x:c r="J110" s="17" t="str"/>
      <x:c r="K110" s="17" t="str"/>
    </x:row>
    <x:row r="111">
      <x:c r="A111" s="16"/>
      <x:c r="B111" s="17" t="str"/>
      <x:c r="C111" s="17" t="str">
        <x:v>盘点</x:v>
      </x:c>
      <x:c r="D111" s="17"/>
      <x:c r="E111" s="17"/>
      <x:c r="F111" s="17" t="str">
        <x:f>IF(OR(D111="",E111=""),"",E111-D111)</x:f>
      </x:c>
      <x:c r="G111" s="17"/>
      <x:c r="H111" s="17" t="str"/>
      <x:c r="I111" s="17" t="str"/>
      <x:c r="J111" s="17" t="str"/>
      <x:c r="K111" s="17" t="str"/>
    </x:row>
    <x:row r="112">
      <x:c r="A112" s="16"/>
      <x:c r="B112" s="17" t="str"/>
      <x:c r="C112" s="17" t="str">
        <x:v>盘点</x:v>
      </x:c>
      <x:c r="D112" s="17"/>
      <x:c r="E112" s="17"/>
      <x:c r="F112" s="17" t="str">
        <x:f>IF(OR(D112="",E112=""),"",E112-D112)</x:f>
      </x:c>
      <x:c r="G112" s="17"/>
      <x:c r="H112" s="17" t="str"/>
      <x:c r="I112" s="17" t="str"/>
      <x:c r="J112" s="17" t="str"/>
      <x:c r="K112" s="17" t="str"/>
    </x:row>
    <x:row r="113">
      <x:c r="A113" s="16"/>
      <x:c r="B113" s="17" t="str"/>
      <x:c r="C113" s="17" t="str">
        <x:v>盘点</x:v>
      </x:c>
      <x:c r="D113" s="17"/>
      <x:c r="E113" s="17"/>
      <x:c r="F113" s="17" t="str">
        <x:f>IF(OR(D113="",E113=""),"",E113-D113)</x:f>
      </x:c>
      <x:c r="G113" s="17"/>
      <x:c r="H113" s="17" t="str"/>
      <x:c r="I113" s="17" t="str"/>
      <x:c r="J113" s="17" t="str"/>
      <x:c r="K113" s="17" t="str"/>
    </x:row>
    <x:row r="114">
      <x:c r="A114" s="16"/>
      <x:c r="B114" s="17" t="str"/>
      <x:c r="C114" s="17" t="str">
        <x:v>盘点</x:v>
      </x:c>
      <x:c r="D114" s="17"/>
      <x:c r="E114" s="17"/>
      <x:c r="F114" s="17" t="str">
        <x:f>IF(OR(D114="",E114=""),"",E114-D114)</x:f>
      </x:c>
      <x:c r="G114" s="17"/>
      <x:c r="H114" s="17" t="str"/>
      <x:c r="I114" s="17" t="str"/>
      <x:c r="J114" s="17" t="str"/>
      <x:c r="K114" s="17" t="str"/>
    </x:row>
    <x:row r="115">
      <x:c r="A115" s="16"/>
      <x:c r="B115" s="17" t="str"/>
      <x:c r="C115" s="17" t="str">
        <x:v>盘点</x:v>
      </x:c>
      <x:c r="D115" s="17"/>
      <x:c r="E115" s="17"/>
      <x:c r="F115" s="17" t="str">
        <x:f>IF(OR(D115="",E115=""),"",E115-D115)</x:f>
      </x:c>
      <x:c r="G115" s="17"/>
      <x:c r="H115" s="17" t="str"/>
      <x:c r="I115" s="17" t="str"/>
      <x:c r="J115" s="17" t="str"/>
      <x:c r="K115" s="17" t="str"/>
    </x:row>
    <x:row r="116">
      <x:c r="A116" s="16"/>
      <x:c r="B116" s="17" t="str"/>
      <x:c r="C116" s="17" t="str">
        <x:v>盘点</x:v>
      </x:c>
      <x:c r="D116" s="17"/>
      <x:c r="E116" s="17"/>
      <x:c r="F116" s="17" t="str">
        <x:f>IF(OR(D116="",E116=""),"",E116-D116)</x:f>
      </x:c>
      <x:c r="G116" s="17"/>
      <x:c r="H116" s="17" t="str"/>
      <x:c r="I116" s="17" t="str"/>
      <x:c r="J116" s="17" t="str"/>
      <x:c r="K116" s="17" t="str"/>
    </x:row>
    <x:row r="117">
      <x:c r="A117" s="16"/>
      <x:c r="B117" s="17" t="str"/>
      <x:c r="C117" s="17" t="str">
        <x:v>盘点</x:v>
      </x:c>
      <x:c r="D117" s="17"/>
      <x:c r="E117" s="17"/>
      <x:c r="F117" s="17" t="str">
        <x:f>IF(OR(D117="",E117=""),"",E117-D117)</x:f>
      </x:c>
      <x:c r="G117" s="17"/>
      <x:c r="H117" s="17" t="str"/>
      <x:c r="I117" s="17" t="str"/>
      <x:c r="J117" s="17" t="str"/>
      <x:c r="K117" s="17" t="str"/>
    </x:row>
    <x:row r="118">
      <x:c r="A118" s="16"/>
      <x:c r="B118" s="17" t="str"/>
      <x:c r="C118" s="17" t="str">
        <x:v>盘点</x:v>
      </x:c>
      <x:c r="D118" s="17"/>
      <x:c r="E118" s="17"/>
      <x:c r="F118" s="17" t="str">
        <x:f>IF(OR(D118="",E118=""),"",E118-D118)</x:f>
      </x:c>
      <x:c r="G118" s="17"/>
      <x:c r="H118" s="17" t="str"/>
      <x:c r="I118" s="17" t="str"/>
      <x:c r="J118" s="17" t="str"/>
      <x:c r="K118" s="17" t="str"/>
    </x:row>
    <x:row r="119">
      <x:c r="A119" s="16"/>
      <x:c r="B119" s="17" t="str"/>
      <x:c r="C119" s="17" t="str">
        <x:v>盘点</x:v>
      </x:c>
      <x:c r="D119" s="17"/>
      <x:c r="E119" s="17"/>
      <x:c r="F119" s="17" t="str">
        <x:f>IF(OR(D119="",E119=""),"",E119-D119)</x:f>
      </x:c>
      <x:c r="G119" s="17"/>
      <x:c r="H119" s="17" t="str"/>
      <x:c r="I119" s="17" t="str"/>
      <x:c r="J119" s="17" t="str"/>
      <x:c r="K119" s="17" t="str"/>
    </x:row>
    <x:row r="120">
      <x:c r="A120" s="16"/>
      <x:c r="B120" s="17" t="str"/>
      <x:c r="C120" s="17" t="str">
        <x:v>盘点</x:v>
      </x:c>
      <x:c r="D120" s="17"/>
      <x:c r="E120" s="17"/>
      <x:c r="F120" s="17" t="str">
        <x:f>IF(OR(D120="",E120=""),"",E120-D120)</x:f>
      </x:c>
      <x:c r="G120" s="17"/>
      <x:c r="H120" s="17" t="str"/>
      <x:c r="I120" s="17" t="str"/>
      <x:c r="J120" s="17" t="str"/>
      <x:c r="K120" s="17" t="str"/>
    </x:row>
    <x:row r="121">
      <x:c r="A121" s="16"/>
      <x:c r="B121" s="17" t="str"/>
      <x:c r="C121" s="17" t="str">
        <x:v>盘点</x:v>
      </x:c>
      <x:c r="D121" s="17"/>
      <x:c r="E121" s="17"/>
      <x:c r="F121" s="17" t="str">
        <x:f>IF(OR(D121="",E121=""),"",E121-D121)</x:f>
      </x:c>
      <x:c r="G121" s="17"/>
      <x:c r="H121" s="17" t="str"/>
      <x:c r="I121" s="17" t="str"/>
      <x:c r="J121" s="17" t="str"/>
      <x:c r="K121" s="17" t="str"/>
    </x:row>
  </x:sheetData>
  <x:conditionalFormatting sqref="F2:F121">
    <x:cfRule type="expression" dxfId="6" priority="1">
      <x:formula>F2&lt;&gt;0</x:formula>
    </x:cfRule>
  </x:conditionalFormatting>
  <x:dataValidations count="1">
    <x:dataValidation type="list" sqref="C2:C121">
      <x:formula1>"盘点,报损,调整"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4c20a1454e41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5" hidden="0" customWidth="1"/>
  </x:cols>
  <x:sheetData>
    <x:row r="1" ht="28" customHeight="1">
      <x:c r="A1" s="10" t="str">
        <x:v>字段</x:v>
      </x:c>
      <x:c r="B1" s="10" t="str">
        <x:v>可选值/说明</x:v>
      </x:c>
    </x:row>
    <x:row r="2">
      <x:c r="A2" t="str">
        <x:v>账单类型</x:v>
      </x:c>
      <x:c r="B2" t="str">
        <x:v>收入</x:v>
      </x:c>
    </x:row>
    <x:row r="3">
      <x:c r="A3" t="str">
        <x:v>账单类型</x:v>
      </x:c>
      <x:c r="B3" t="str">
        <x:v>进货成本</x:v>
      </x:c>
    </x:row>
    <x:row r="4">
      <x:c r="A4" t="str">
        <x:v>账单类型</x:v>
      </x:c>
      <x:c r="B4" t="str">
        <x:v>人工</x:v>
      </x:c>
    </x:row>
    <x:row r="5">
      <x:c r="A5" t="str">
        <x:v>账单类型</x:v>
      </x:c>
      <x:c r="B5" t="str">
        <x:v>房租</x:v>
      </x:c>
    </x:row>
    <x:row r="6">
      <x:c r="A6" t="str">
        <x:v>账单类型</x:v>
      </x:c>
      <x:c r="B6" t="str">
        <x:v>水电</x:v>
      </x:c>
    </x:row>
    <x:row r="7">
      <x:c r="A7" t="str">
        <x:v>账单类型</x:v>
      </x:c>
      <x:c r="B7" t="str">
        <x:v>营销</x:v>
      </x:c>
    </x:row>
    <x:row r="8">
      <x:c r="A8" t="str">
        <x:v>账单类型</x:v>
      </x:c>
      <x:c r="B8" t="str">
        <x:v>设备/耗材</x:v>
      </x:c>
    </x:row>
    <x:row r="9">
      <x:c r="A9" t="str">
        <x:v>账单类型</x:v>
      </x:c>
      <x:c r="B9" t="str">
        <x:v>押金</x:v>
      </x:c>
    </x:row>
    <x:row r="10">
      <x:c r="A10" t="str">
        <x:v>账单类型</x:v>
      </x:c>
      <x:c r="B10" t="str">
        <x:v>借款</x:v>
      </x:c>
    </x:row>
    <x:row r="11">
      <x:c r="A11" t="str">
        <x:v>账单类型</x:v>
      </x:c>
      <x:c r="B11" t="str">
        <x:v>还款</x:v>
      </x:c>
    </x:row>
    <x:row r="12">
      <x:c r="A12" t="str">
        <x:v>账单类型</x:v>
      </x:c>
      <x:c r="B12" t="str">
        <x:v>其他支出</x:v>
      </x:c>
    </x:row>
    <x:row r="13">
      <x:c r="A13" t="str">
        <x:v>渠道</x:v>
      </x:c>
      <x:c r="B13" t="str">
        <x:v>客如云/收银</x:v>
      </x:c>
    </x:row>
    <x:row r="14">
      <x:c r="A14" t="str">
        <x:v>渠道</x:v>
      </x:c>
      <x:c r="B14" t="str">
        <x:v>美团</x:v>
      </x:c>
    </x:row>
    <x:row r="15">
      <x:c r="A15" t="str">
        <x:v>渠道</x:v>
      </x:c>
      <x:c r="B15" t="str">
        <x:v>淘宝闪购</x:v>
      </x:c>
    </x:row>
    <x:row r="16">
      <x:c r="A16" t="str">
        <x:v>渠道</x:v>
      </x:c>
      <x:c r="B16" t="str">
        <x:v>抖音</x:v>
      </x:c>
    </x:row>
    <x:row r="17">
      <x:c r="A17" t="str">
        <x:v>渠道</x:v>
      </x:c>
      <x:c r="B17" t="str">
        <x:v>微信/支付宝</x:v>
      </x:c>
    </x:row>
    <x:row r="18">
      <x:c r="A18" t="str">
        <x:v>渠道</x:v>
      </x:c>
      <x:c r="B18" t="str">
        <x:v>现金</x:v>
      </x:c>
    </x:row>
    <x:row r="19">
      <x:c r="A19" t="str">
        <x:v>支付状态</x:v>
      </x:c>
      <x:c r="B19" t="str">
        <x:v>已付款</x:v>
      </x:c>
    </x:row>
    <x:row r="20">
      <x:c r="A20" t="str">
        <x:v>支付状态</x:v>
      </x:c>
      <x:c r="B20" t="str">
        <x:v>未付款</x:v>
      </x:c>
    </x:row>
    <x:row r="21">
      <x:c r="A21" t="str">
        <x:v>支付状态</x:v>
      </x:c>
      <x:c r="B21" t="str">
        <x:v>待确认</x:v>
      </x:c>
    </x:row>
    <x:row r="22">
      <x:c r="A22" t="str">
        <x:v>凭证状态</x:v>
      </x:c>
      <x:c r="B22" t="str">
        <x:v>有凭证</x:v>
      </x:c>
    </x:row>
    <x:row r="23">
      <x:c r="A23" t="str">
        <x:v>凭证状态</x:v>
      </x:c>
      <x:c r="B23" t="str">
        <x:v>无凭证</x:v>
      </x:c>
    </x:row>
    <x:row r="24">
      <x:c r="A24" t="str">
        <x:v>凭证状态</x:v>
      </x:c>
      <x:c r="B24" t="str">
        <x:v>待补</x:v>
      </x:c>
    </x:row>
    <x:row r="25">
      <x:c r="A25" t="str">
        <x:v>库存分类</x:v>
      </x:c>
      <x:c r="B25" t="str">
        <x:v>原料</x:v>
      </x:c>
    </x:row>
    <x:row r="26">
      <x:c r="A26" t="str">
        <x:v>库存分类</x:v>
      </x:c>
      <x:c r="B26" t="str">
        <x:v>包材</x:v>
      </x:c>
    </x:row>
    <x:row r="27">
      <x:c r="A27" t="str">
        <x:v>库存分类</x:v>
      </x:c>
      <x:c r="B27" t="str">
        <x:v>半成品</x:v>
      </x:c>
    </x:row>
    <x:row r="28">
      <x:c r="A28" t="str">
        <x:v>库存分类</x:v>
      </x:c>
      <x:c r="B28" t="str">
        <x:v>成品</x:v>
      </x:c>
    </x:row>
    <x:row r="29">
      <x:c r="A29" t="str">
        <x:v>库存分类</x:v>
      </x:c>
      <x:c r="B29" t="str">
        <x:v>耗材</x:v>
      </x:c>
    </x:row>
    <x:row r="30">
      <x:c r="A30" t="str">
        <x:v>库存状态</x:v>
      </x:c>
      <x:c r="B30" t="str">
        <x:v>正常</x:v>
      </x:c>
    </x:row>
    <x:row r="31">
      <x:c r="A31" t="str">
        <x:v>库存状态</x:v>
      </x:c>
      <x:c r="B31" t="str">
        <x:v>低于安全库存</x:v>
      </x:c>
    </x:row>
    <x:row r="32">
      <x:c r="A32" t="str">
        <x:v>库存状态</x:v>
      </x:c>
      <x:c r="B32" t="str">
        <x:v>需要盘点</x:v>
      </x:c>
    </x:row>
    <x:row r="33">
      <x:c r="A33" t="str">
        <x:v>库存状态</x:v>
      </x:c>
      <x:c r="B33" t="str">
        <x:v>缺货</x:v>
      </x:c>
    </x:row>
    <x:row r="34">
      <x:c r="A34" t="str">
        <x:v>来源参考</x:v>
      </x:c>
      <x:c r="B34" t="str">
        <x:v>https://quickbooks.intuit.com/global/resources/accounting-and-bookkeeping/small-business-accounting-checklist-and-infographic-21-things-to-do-and-when-to-do-them/</x:v>
      </x:c>
    </x:row>
    <x:row r="35">
      <x:c r="A35" t="str">
        <x:v>来源参考</x:v>
      </x:c>
      <x:c r="B35" t="str">
        <x:v>https://www.netsuite.com/portal/resource/articles/inventory-management/safety-stock.shtml</x:v>
      </x:c>
    </x:row>
    <x:row r="36">
      <x:c r="A36" t="str">
        <x:v>来源参考</x:v>
      </x:c>
      <x:c r="B36" t="str">
        <x:v>https://www.bloomreach.com/en/blog/how-to-solve-the-reorder-point-formula-inventory-management-strategy</x:v>
      </x:c>
    </x:row>
  </x:sheetData>
  <x:pageMargins left="0.7" right="0.7" top="0.75" bottom="0.75" header="0.3" footer="0.3"/>
</x:worksheet>
</file>